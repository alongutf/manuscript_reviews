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VapBC\TECAN_2017Vap\"/>
    </mc:Choice>
  </mc:AlternateContent>
  <xr:revisionPtr revIDLastSave="0" documentId="13_ncr:1_{C1F11FE7-97BD-4705-AB8B-9783C25EF108}" xr6:coauthVersionLast="47" xr6:coauthVersionMax="47" xr10:uidLastSave="{00000000-0000-0000-0000-000000000000}"/>
  <bookViews>
    <workbookView xWindow="-108" yWindow="-108" windowWidth="23256" windowHeight="12576" xr2:uid="{96994694-E89F-43C0-A53D-AFC841F2DBA5}"/>
  </bookViews>
  <sheets>
    <sheet name="MPN" sheetId="3" r:id="rId1"/>
    <sheet name="Prep" sheetId="1" r:id="rId2"/>
    <sheet name="MPNtemplat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4" i="3" l="1"/>
  <c r="C74" i="3"/>
  <c r="D74" i="3"/>
  <c r="I11" i="3"/>
  <c r="I3" i="3"/>
  <c r="B62" i="3"/>
  <c r="E62" i="3" s="1"/>
  <c r="F62" i="3" s="1"/>
  <c r="C62" i="3"/>
  <c r="D62" i="3"/>
  <c r="B68" i="3"/>
  <c r="C68" i="3"/>
  <c r="F68" i="3" s="1"/>
  <c r="D68" i="3"/>
  <c r="B56" i="3"/>
  <c r="C56" i="3"/>
  <c r="D56" i="3"/>
  <c r="C73" i="3"/>
  <c r="E73" i="3" s="1"/>
  <c r="F73" i="3" s="1"/>
  <c r="D73" i="3"/>
  <c r="B73" i="3"/>
  <c r="C72" i="3"/>
  <c r="E72" i="3" s="1"/>
  <c r="D72" i="3"/>
  <c r="B72" i="3"/>
  <c r="C67" i="3"/>
  <c r="E67" i="3" s="1"/>
  <c r="D67" i="3"/>
  <c r="B67" i="3"/>
  <c r="C66" i="3"/>
  <c r="D66" i="3"/>
  <c r="B66" i="3"/>
  <c r="E68" i="3"/>
  <c r="E66" i="3"/>
  <c r="E34" i="3"/>
  <c r="F34" i="3" s="1"/>
  <c r="E33" i="3"/>
  <c r="F33" i="3" s="1"/>
  <c r="E29" i="3"/>
  <c r="F29" i="3" s="1"/>
  <c r="E28" i="3"/>
  <c r="F28" i="3" s="1"/>
  <c r="E56" i="3"/>
  <c r="F56" i="3" s="1"/>
  <c r="E24" i="3"/>
  <c r="F24" i="3" s="1"/>
  <c r="E23" i="3"/>
  <c r="F23" i="3" s="1"/>
  <c r="E19" i="3"/>
  <c r="F19" i="3" s="1"/>
  <c r="E18" i="3"/>
  <c r="F18" i="3" s="1"/>
  <c r="B47" i="3"/>
  <c r="C47" i="3"/>
  <c r="D47" i="3"/>
  <c r="B48" i="3"/>
  <c r="C48" i="3"/>
  <c r="D48" i="3"/>
  <c r="B49" i="3"/>
  <c r="C49" i="3"/>
  <c r="D49" i="3"/>
  <c r="B50" i="3"/>
  <c r="C50" i="3"/>
  <c r="D50" i="3"/>
  <c r="C46" i="3"/>
  <c r="D46" i="3"/>
  <c r="B46" i="3"/>
  <c r="B39" i="3"/>
  <c r="C39" i="3"/>
  <c r="D39" i="3"/>
  <c r="B40" i="3"/>
  <c r="C40" i="3"/>
  <c r="D40" i="3"/>
  <c r="B41" i="3"/>
  <c r="C41" i="3"/>
  <c r="D41" i="3"/>
  <c r="B42" i="3"/>
  <c r="C42" i="3"/>
  <c r="D42" i="3"/>
  <c r="C38" i="3"/>
  <c r="D38" i="3"/>
  <c r="B38" i="3"/>
  <c r="E11" i="3"/>
  <c r="F11" i="3" s="1"/>
  <c r="E12" i="3"/>
  <c r="F12" i="3" s="1"/>
  <c r="E13" i="3"/>
  <c r="F13" i="3" s="1"/>
  <c r="E14" i="3"/>
  <c r="F14" i="3" s="1"/>
  <c r="E3" i="3"/>
  <c r="F3" i="3" s="1"/>
  <c r="E4" i="3"/>
  <c r="F4" i="3" s="1"/>
  <c r="E5" i="3"/>
  <c r="F5" i="3" s="1"/>
  <c r="E6" i="3"/>
  <c r="F6" i="3" s="1"/>
  <c r="E10" i="3"/>
  <c r="F10" i="3" s="1"/>
  <c r="E2" i="3"/>
  <c r="F2" i="3" s="1"/>
  <c r="I10" i="3"/>
  <c r="D60" i="3" s="1"/>
  <c r="H10" i="3"/>
  <c r="C61" i="3" s="1"/>
  <c r="G10" i="3"/>
  <c r="B60" i="3" s="1"/>
  <c r="H2" i="3"/>
  <c r="C55" i="3" s="1"/>
  <c r="I2" i="3"/>
  <c r="D55" i="3" s="1"/>
  <c r="G2" i="3"/>
  <c r="B55" i="3" s="1"/>
  <c r="M2" i="1"/>
  <c r="K7" i="1"/>
  <c r="K8" i="1" s="1"/>
  <c r="L7" i="1"/>
  <c r="F74" i="3" l="1"/>
  <c r="E74" i="3"/>
  <c r="F67" i="3"/>
  <c r="F66" i="3"/>
  <c r="F72" i="3"/>
  <c r="C60" i="3"/>
  <c r="E60" i="3" s="1"/>
  <c r="F60" i="3" s="1"/>
  <c r="D54" i="3"/>
  <c r="B61" i="3"/>
  <c r="E61" i="3" s="1"/>
  <c r="F61" i="3" s="1"/>
  <c r="D61" i="3"/>
  <c r="C54" i="3"/>
  <c r="E55" i="3"/>
  <c r="F55" i="3" s="1"/>
  <c r="B54" i="3"/>
  <c r="E40" i="3"/>
  <c r="F40" i="3" s="1"/>
  <c r="E48" i="3"/>
  <c r="F48" i="3" s="1"/>
  <c r="E46" i="3"/>
  <c r="F46" i="3" s="1"/>
  <c r="E50" i="3"/>
  <c r="F50" i="3" s="1"/>
  <c r="E38" i="3"/>
  <c r="F38" i="3" s="1"/>
  <c r="E42" i="3"/>
  <c r="F42" i="3" s="1"/>
  <c r="E47" i="3"/>
  <c r="F47" i="3" s="1"/>
  <c r="E49" i="3"/>
  <c r="F49" i="3" s="1"/>
  <c r="E39" i="3"/>
  <c r="F39" i="3" s="1"/>
  <c r="E41" i="3"/>
  <c r="F41" i="3" s="1"/>
  <c r="E54" i="3" l="1"/>
  <c r="F54" i="3" s="1"/>
</calcChain>
</file>

<file path=xl/sharedStrings.xml><?xml version="1.0" encoding="utf-8"?>
<sst xmlns="http://schemas.openxmlformats.org/spreadsheetml/2006/main" count="232" uniqueCount="158">
  <si>
    <t>VIGA1</t>
  </si>
  <si>
    <t>VIGA2</t>
  </si>
  <si>
    <t>VIGA3</t>
  </si>
  <si>
    <t>CASP1</t>
  </si>
  <si>
    <t>CASP2</t>
  </si>
  <si>
    <t>CASP3</t>
  </si>
  <si>
    <t>growth</t>
  </si>
  <si>
    <t>growth + amp</t>
  </si>
  <si>
    <t>dilution+amp</t>
  </si>
  <si>
    <t>dilution</t>
  </si>
  <si>
    <t>day1</t>
  </si>
  <si>
    <t>24h</t>
  </si>
  <si>
    <t>1:10^-8</t>
  </si>
  <si>
    <t>ON:50</t>
  </si>
  <si>
    <t>VIGA24:50</t>
  </si>
  <si>
    <t>CASP:50</t>
  </si>
  <si>
    <t>Sunday:</t>
  </si>
  <si>
    <t>1. ON starter for CASP in LB</t>
  </si>
  <si>
    <t xml:space="preserve">Monday: </t>
  </si>
  <si>
    <t xml:space="preserve">plates: </t>
  </si>
  <si>
    <t>A time: 0</t>
  </si>
  <si>
    <t>plates</t>
  </si>
  <si>
    <t>tips</t>
  </si>
  <si>
    <t>A-D: 48h</t>
  </si>
  <si>
    <t>Tips, LB</t>
  </si>
  <si>
    <t>2. Dilution of VIGA (Alon) from aliquotes 1:10^-8 to plate M9</t>
  </si>
  <si>
    <t xml:space="preserve">Tuesday: </t>
  </si>
  <si>
    <t>3. Prepare plates for the next day</t>
  </si>
  <si>
    <t>Prepare M9 and LB, check plates availability, tips (Saga), reservuars</t>
  </si>
  <si>
    <t>3. 2h killing</t>
  </si>
  <si>
    <t xml:space="preserve">Wednesday: </t>
  </si>
  <si>
    <t>5. Prepare plates for the next day</t>
  </si>
  <si>
    <t>1. 24h killing</t>
  </si>
  <si>
    <t>2. Prepare plates for the next day</t>
  </si>
  <si>
    <t xml:space="preserve">Thursday: </t>
  </si>
  <si>
    <t>50ml LB+1/4 KAN for ON</t>
  </si>
  <si>
    <t>LB+1/4KAN</t>
  </si>
  <si>
    <t>Prepare 4X500ml LB for MPN (Big bottles)</t>
  </si>
  <si>
    <t>Make Kan for this experiment</t>
  </si>
  <si>
    <t xml:space="preserve">50ml M9+0.1%AA+1/4 KAN </t>
  </si>
  <si>
    <t>media</t>
  </si>
  <si>
    <t>10ml LB</t>
  </si>
  <si>
    <t>50 ml M9</t>
  </si>
  <si>
    <t>aTc</t>
  </si>
  <si>
    <t>2. Expext OD in intRC, add aTc to all A-B rows</t>
  </si>
  <si>
    <t xml:space="preserve">1. 1:50/100 for washed  CASP </t>
  </si>
  <si>
    <t>10ml M9</t>
  </si>
  <si>
    <t xml:space="preserve">30 plates </t>
  </si>
  <si>
    <t>600ml LB</t>
  </si>
  <si>
    <t>15ml M9</t>
  </si>
  <si>
    <t>AMP</t>
  </si>
  <si>
    <t>19 plates</t>
  </si>
  <si>
    <t>MPN plate</t>
  </si>
  <si>
    <t>LB</t>
  </si>
  <si>
    <t>culture</t>
  </si>
  <si>
    <t>1st col</t>
  </si>
  <si>
    <t>2,5ml</t>
  </si>
  <si>
    <t>2-11 cols</t>
  </si>
  <si>
    <t>1:6</t>
  </si>
  <si>
    <t>12th</t>
  </si>
  <si>
    <t>empty</t>
  </si>
  <si>
    <t>-</t>
  </si>
  <si>
    <t>195ddW+5ul aTc100, then 10ul/well</t>
  </si>
  <si>
    <t>C: 2h</t>
  </si>
  <si>
    <t>C: 6h</t>
  </si>
  <si>
    <t>A-D: 24h</t>
  </si>
  <si>
    <t>3.75ul aTc 100/15ml</t>
  </si>
  <si>
    <t>Prepare 2.5ml tube for each MPN plate</t>
  </si>
  <si>
    <t>4. 8h killing</t>
  </si>
  <si>
    <t>1. Divide 15ml LB+aTc25 to lanes C-D. Make 1:50 dulutions from lane B (20ul/well)</t>
  </si>
  <si>
    <t>180ulddW+20ul AMP100, then 10ul/well</t>
  </si>
  <si>
    <t xml:space="preserve">2. Take T0, MPN (lane D -1:50 dilution from lane B) </t>
  </si>
  <si>
    <t>3. Add amp to lanes B-C</t>
  </si>
  <si>
    <t xml:space="preserve">  </t>
  </si>
  <si>
    <t>D1-D3, mutants, insensitive to aTc appeared after 24hours</t>
  </si>
  <si>
    <t>Name</t>
  </si>
  <si>
    <t>C1</t>
  </si>
  <si>
    <t>C2</t>
  </si>
  <si>
    <t>C3</t>
  </si>
  <si>
    <t>H-C1</t>
  </si>
  <si>
    <t>L-C1</t>
  </si>
  <si>
    <t>C1*50</t>
  </si>
  <si>
    <t>C2*50</t>
  </si>
  <si>
    <t>C3*50</t>
  </si>
  <si>
    <t>H-C2</t>
  </si>
  <si>
    <t>L-C2</t>
  </si>
  <si>
    <t>H-C3</t>
  </si>
  <si>
    <t>L-C3</t>
  </si>
  <si>
    <t>C4</t>
  </si>
  <si>
    <t>C5</t>
  </si>
  <si>
    <t>C6</t>
  </si>
  <si>
    <t>C4*50</t>
  </si>
  <si>
    <t>C5*50</t>
  </si>
  <si>
    <t>C6*50</t>
  </si>
  <si>
    <t>H-C4</t>
  </si>
  <si>
    <t>L-C4</t>
  </si>
  <si>
    <t>H-C5</t>
  </si>
  <si>
    <t>L-C5</t>
  </si>
  <si>
    <t>H-C6</t>
  </si>
  <si>
    <t>L-C6</t>
  </si>
  <si>
    <t>Average</t>
  </si>
  <si>
    <t>stdev</t>
  </si>
  <si>
    <t>VIGA dilAMP</t>
  </si>
  <si>
    <t>CASP dilAMP</t>
  </si>
  <si>
    <t>Norm. VIGA dilAMP</t>
  </si>
  <si>
    <t>time</t>
  </si>
  <si>
    <t>1:50 (lane C-D); 1:250 (lanes A-B)</t>
  </si>
  <si>
    <t>50ul (lanes C-D); 10ul (lanes A-B)</t>
  </si>
  <si>
    <t>VIGA originalAMP</t>
  </si>
  <si>
    <t>CASP originalAMP</t>
  </si>
  <si>
    <t>H-B1</t>
  </si>
  <si>
    <t>L-B1</t>
  </si>
  <si>
    <t>H-B2</t>
  </si>
  <si>
    <t>L-B2</t>
  </si>
  <si>
    <t>H-B3</t>
  </si>
  <si>
    <t>L-B3</t>
  </si>
  <si>
    <t>H-B4</t>
  </si>
  <si>
    <t>L-B4</t>
  </si>
  <si>
    <t>H-B5</t>
  </si>
  <si>
    <t>L-B5</t>
  </si>
  <si>
    <t>H-B6</t>
  </si>
  <si>
    <t>L-B6</t>
  </si>
  <si>
    <t>Norm. VIGA originalAMP</t>
  </si>
  <si>
    <t>Norm. CASP originalAMP</t>
  </si>
  <si>
    <t>B1</t>
  </si>
  <si>
    <t>B2</t>
  </si>
  <si>
    <t>B3</t>
  </si>
  <si>
    <t>B4</t>
  </si>
  <si>
    <t>B5</t>
  </si>
  <si>
    <t>B6</t>
  </si>
  <si>
    <t>A1</t>
  </si>
  <si>
    <t>A2</t>
  </si>
  <si>
    <t>A3</t>
  </si>
  <si>
    <t>VIGA control</t>
  </si>
  <si>
    <t>CASP control</t>
  </si>
  <si>
    <t>H-A1</t>
  </si>
  <si>
    <t>L-A1</t>
  </si>
  <si>
    <t>H-A2</t>
  </si>
  <si>
    <t>L-A2</t>
  </si>
  <si>
    <t>H-A3</t>
  </si>
  <si>
    <t>L-A3</t>
  </si>
  <si>
    <t>H-A4</t>
  </si>
  <si>
    <t>L-A4</t>
  </si>
  <si>
    <t>H-A5</t>
  </si>
  <si>
    <t>L-A5</t>
  </si>
  <si>
    <t>H-A6</t>
  </si>
  <si>
    <t>L-A6</t>
  </si>
  <si>
    <t>Norm. VIGA-cnt</t>
  </si>
  <si>
    <t>Norm. CASP-cnt</t>
  </si>
  <si>
    <t>A4</t>
  </si>
  <si>
    <t>A5</t>
  </si>
  <si>
    <t>A6</t>
  </si>
  <si>
    <t>CASP+Nut+AMP</t>
  </si>
  <si>
    <t>VIGA24h+Nut+AMP</t>
  </si>
  <si>
    <t>CASP_AMP</t>
  </si>
  <si>
    <t>VIGA24h_AMP</t>
  </si>
  <si>
    <t>VIGA24h</t>
  </si>
  <si>
    <t xml:space="preserve">CASP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</si>
</sst>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1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20" fontId="0" fillId="0" borderId="0" xfId="0" applyNumberFormat="1"/>
    <xf numFmtId="0" fontId="1" fillId="3" borderId="1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0" fontId="1" fillId="3" borderId="0" xfId="0" applyFont="1" applyFill="1"/>
    <xf numFmtId="0" fontId="5" fillId="3" borderId="0" xfId="0" applyFont="1" applyFill="1"/>
    <xf numFmtId="0" fontId="0" fillId="3" borderId="0" xfId="0" applyFill="1"/>
    <xf numFmtId="0" fontId="0" fillId="2" borderId="0" xfId="0" applyFill="1"/>
    <xf numFmtId="0" fontId="1" fillId="5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20" fontId="0" fillId="0" borderId="0" xfId="0" quotePrefix="1" applyNumberFormat="1"/>
    <xf numFmtId="0" fontId="1" fillId="5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4" fillId="4" borderId="0" xfId="0" applyFont="1" applyFill="1"/>
    <xf numFmtId="0" fontId="6" fillId="4" borderId="0" xfId="0" applyFont="1" applyFill="1"/>
    <xf numFmtId="0" fontId="0" fillId="0" borderId="1" xfId="0" applyBorder="1"/>
    <xf numFmtId="0" fontId="0" fillId="7" borderId="1" xfId="0" applyFill="1" applyBorder="1"/>
    <xf numFmtId="0" fontId="0" fillId="7" borderId="0" xfId="0" applyFill="1"/>
    <xf numFmtId="0" fontId="0" fillId="2" borderId="1" xfId="0" applyFill="1" applyBorder="1"/>
    <xf numFmtId="0" fontId="0" fillId="8" borderId="1" xfId="0" applyFill="1" applyBorder="1"/>
    <xf numFmtId="0" fontId="0" fillId="8" borderId="0" xfId="0" applyFill="1"/>
    <xf numFmtId="0" fontId="0" fillId="5" borderId="1" xfId="0" applyFill="1" applyBorder="1"/>
    <xf numFmtId="0" fontId="0" fillId="5" borderId="0" xfId="0" applyFill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1" fontId="0" fillId="0" borderId="0" xfId="0" applyNumberFormat="1"/>
    <xf numFmtId="11" fontId="0" fillId="5" borderId="0" xfId="0" applyNumberFormat="1" applyFill="1"/>
    <xf numFmtId="11" fontId="0" fillId="2" borderId="0" xfId="0" applyNumberFormat="1" applyFill="1"/>
    <xf numFmtId="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Font="1" applyFill="1"/>
    <xf numFmtId="0" fontId="1" fillId="0" borderId="0" xfId="0" applyNumberFormat="1" applyFont="1"/>
    <xf numFmtId="0" fontId="0" fillId="0" borderId="0" xfId="0" quotePrefix="1" applyAlignment="1">
      <alignment wrapText="1"/>
    </xf>
    <xf numFmtId="0" fontId="0" fillId="9" borderId="0" xfId="0" applyFill="1"/>
    <xf numFmtId="11" fontId="0" fillId="7" borderId="0" xfId="0" applyNumberFormat="1" applyFill="1"/>
    <xf numFmtId="11" fontId="0" fillId="8" borderId="0" xfId="0" applyNumberFormat="1" applyFill="1"/>
    <xf numFmtId="0" fontId="1" fillId="9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0" fillId="10" borderId="0" xfId="0" applyFill="1"/>
    <xf numFmtId="11" fontId="0" fillId="10" borderId="0" xfId="0" applyNumberFormat="1" applyFill="1"/>
    <xf numFmtId="11" fontId="0" fillId="3" borderId="0" xfId="0" applyNumberFormat="1" applyFill="1"/>
    <xf numFmtId="0" fontId="1" fillId="10" borderId="0" xfId="0" applyFont="1" applyFill="1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Killing Curve (average of 3 biological repeats)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53416559554969"/>
          <c:y val="0.1072381902486811"/>
          <c:w val="0.80533244521692071"/>
          <c:h val="0.77604449227352212"/>
        </c:manualLayout>
      </c:layout>
      <c:scatterChart>
        <c:scatterStyle val="lineMarker"/>
        <c:varyColors val="0"/>
        <c:ser>
          <c:idx val="0"/>
          <c:order val="0"/>
          <c:tx>
            <c:strRef>
              <c:f>MPN!$J$37</c:f>
              <c:strCache>
                <c:ptCount val="1"/>
                <c:pt idx="0">
                  <c:v>CASP+Nut+AMP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MPN!$P$38:$P$42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9.5558389980637541E-5</c:v>
                  </c:pt>
                  <c:pt idx="2">
                    <c:v>7.0893378850160946E-6</c:v>
                  </c:pt>
                  <c:pt idx="3">
                    <c:v>5.2420450696807452E-7</c:v>
                  </c:pt>
                  <c:pt idx="4">
                    <c:v>1.8210870447870847E-7</c:v>
                  </c:pt>
                </c:numCache>
              </c:numRef>
            </c:plus>
            <c:minus>
              <c:numRef>
                <c:f>MPN!$P$38:$P$42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9.5558389980637541E-5</c:v>
                  </c:pt>
                  <c:pt idx="2">
                    <c:v>7.0893378850160946E-6</c:v>
                  </c:pt>
                  <c:pt idx="3">
                    <c:v>5.2420450696807452E-7</c:v>
                  </c:pt>
                  <c:pt idx="4">
                    <c:v>1.8210870447870847E-7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MPN!$J$38:$J$42</c:f>
              <c:numCache>
                <c:formatCode>General</c:formatCode>
                <c:ptCount val="5"/>
                <c:pt idx="0">
                  <c:v>1</c:v>
                </c:pt>
                <c:pt idx="1">
                  <c:v>3.1619047619047615E-4</c:v>
                </c:pt>
                <c:pt idx="2">
                  <c:v>2.2010204081632654E-5</c:v>
                </c:pt>
                <c:pt idx="3">
                  <c:v>1.5316326530612242E-6</c:v>
                </c:pt>
                <c:pt idx="4">
                  <c:v>2.388888888888889E-7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B-43AB-B8B7-E6F1EFE4C06F}"/>
            </c:ext>
          </c:extLst>
        </c:ser>
        <c:ser>
          <c:idx val="1"/>
          <c:order val="1"/>
          <c:tx>
            <c:strRef>
              <c:f>MPN!$K$37</c:f>
              <c:strCache>
                <c:ptCount val="1"/>
                <c:pt idx="0">
                  <c:v>VIGA24h+Nut+AMP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MPN!$Q$38:$Q$42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0.16776205009518572</c:v>
                  </c:pt>
                  <c:pt idx="2">
                    <c:v>0.37882619359365838</c:v>
                  </c:pt>
                  <c:pt idx="3">
                    <c:v>0.1621582209856767</c:v>
                  </c:pt>
                  <c:pt idx="4">
                    <c:v>5.6028247257582542E-2</c:v>
                  </c:pt>
                </c:numCache>
              </c:numRef>
            </c:plus>
            <c:minus>
              <c:numRef>
                <c:f>MPN!$Q$38:$Q$42</c:f>
                <c:numCache>
                  <c:formatCode>General</c:formatCode>
                  <c:ptCount val="5"/>
                  <c:pt idx="0">
                    <c:v>0</c:v>
                  </c:pt>
                  <c:pt idx="1">
                    <c:v>0.16776205009518572</c:v>
                  </c:pt>
                  <c:pt idx="2">
                    <c:v>0.37882619359365838</c:v>
                  </c:pt>
                  <c:pt idx="3">
                    <c:v>0.1621582209856767</c:v>
                  </c:pt>
                  <c:pt idx="4">
                    <c:v>5.6028247257582542E-2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MPN!$K$38:$K$42</c:f>
              <c:numCache>
                <c:formatCode>General</c:formatCode>
                <c:ptCount val="5"/>
                <c:pt idx="0">
                  <c:v>1</c:v>
                </c:pt>
                <c:pt idx="1">
                  <c:v>0.2474014336917563</c:v>
                </c:pt>
                <c:pt idx="2">
                  <c:v>0.59050179211469533</c:v>
                </c:pt>
                <c:pt idx="3">
                  <c:v>0.56160394265232971</c:v>
                </c:pt>
                <c:pt idx="4">
                  <c:v>0.24896953405017921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B-43AB-B8B7-E6F1EFE4C06F}"/>
            </c:ext>
          </c:extLst>
        </c:ser>
        <c:ser>
          <c:idx val="2"/>
          <c:order val="2"/>
          <c:tx>
            <c:strRef>
              <c:f>MPN!$L$37</c:f>
              <c:strCache>
                <c:ptCount val="1"/>
                <c:pt idx="0">
                  <c:v>CASP_AMP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9050" cap="rnd">
                <a:noFill/>
                <a:round/>
              </a:ln>
              <a:effectLst/>
            </c:spPr>
          </c:dPt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MPN!$L$38:$L$42</c:f>
              <c:numCache>
                <c:formatCode>General</c:formatCode>
                <c:ptCount val="5"/>
                <c:pt idx="0">
                  <c:v>1</c:v>
                </c:pt>
                <c:pt idx="3">
                  <c:v>1.4392063492063494</c:v>
                </c:pt>
                <c:pt idx="4">
                  <c:v>1.5758956916099773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AB-43AB-B8B7-E6F1EFE4C06F}"/>
            </c:ext>
          </c:extLst>
        </c:ser>
        <c:ser>
          <c:idx val="3"/>
          <c:order val="3"/>
          <c:tx>
            <c:strRef>
              <c:f>MPN!$M$37</c:f>
              <c:strCache>
                <c:ptCount val="1"/>
                <c:pt idx="0">
                  <c:v>VIGA24h_AMP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bg1"/>
              </a:solidFill>
              <a:ln w="1587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MPN!$S$38:$S$42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0.18266013096091521</c:v>
                  </c:pt>
                  <c:pt idx="4">
                    <c:v>0.18910588175056947</c:v>
                  </c:pt>
                </c:numCache>
              </c:numRef>
            </c:plus>
            <c:minus>
              <c:numRef>
                <c:f>MPN!$S$38:$S$42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0.18266013096091521</c:v>
                  </c:pt>
                  <c:pt idx="4">
                    <c:v>0.18910588175056947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MPN!$M$38:$M$42</c:f>
              <c:numCache>
                <c:formatCode>General</c:formatCode>
                <c:ptCount val="5"/>
                <c:pt idx="0">
                  <c:v>1</c:v>
                </c:pt>
                <c:pt idx="3">
                  <c:v>0.45461469534050186</c:v>
                </c:pt>
                <c:pt idx="4">
                  <c:v>0.36491935483870969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AB-43AB-B8B7-E6F1EFE4C06F}"/>
            </c:ext>
          </c:extLst>
        </c:ser>
        <c:ser>
          <c:idx val="4"/>
          <c:order val="4"/>
          <c:tx>
            <c:strRef>
              <c:f>MPN!$N$37</c:f>
              <c:strCache>
                <c:ptCount val="1"/>
                <c:pt idx="0">
                  <c:v>CASP 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MPN!$T$38:$T$42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0.59567682783748221</c:v>
                  </c:pt>
                  <c:pt idx="4">
                    <c:v>1.2503042010336536</c:v>
                  </c:pt>
                </c:numCache>
              </c:numRef>
            </c:plus>
            <c:minus>
              <c:numRef>
                <c:f>MPN!$T$38:$T$42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0.59567682783748221</c:v>
                  </c:pt>
                  <c:pt idx="4">
                    <c:v>1.2503042010336536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MPN!$N$38:$N$42</c:f>
              <c:numCache>
                <c:formatCode>General</c:formatCode>
                <c:ptCount val="5"/>
                <c:pt idx="0">
                  <c:v>1</c:v>
                </c:pt>
                <c:pt idx="3">
                  <c:v>0.76950113378684815</c:v>
                </c:pt>
                <c:pt idx="4">
                  <c:v>1.4245578231292517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AB-43AB-B8B7-E6F1EFE4C06F}"/>
            </c:ext>
          </c:extLst>
        </c:ser>
        <c:ser>
          <c:idx val="5"/>
          <c:order val="5"/>
          <c:tx>
            <c:strRef>
              <c:f>MPN!$O$37</c:f>
              <c:strCache>
                <c:ptCount val="1"/>
                <c:pt idx="0">
                  <c:v>VIGA24h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FF0000"/>
              </a:solidFill>
              <a:ln w="15875">
                <a:solidFill>
                  <a:srgbClr val="FF0000">
                    <a:alpha val="94000"/>
                  </a:srgb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MPN!$U$38:$U$42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0.18094583032969014</c:v>
                  </c:pt>
                  <c:pt idx="4">
                    <c:v>0.24738112471311544</c:v>
                  </c:pt>
                </c:numCache>
              </c:numRef>
            </c:plus>
            <c:minus>
              <c:numRef>
                <c:f>MPN!$U$38:$U$42</c:f>
                <c:numCache>
                  <c:formatCode>General</c:formatCode>
                  <c:ptCount val="5"/>
                  <c:pt idx="0">
                    <c:v>0</c:v>
                  </c:pt>
                  <c:pt idx="3">
                    <c:v>0.18094583032969014</c:v>
                  </c:pt>
                  <c:pt idx="4">
                    <c:v>0.24738112471311544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MPN!$I$38:$I$42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8</c:v>
                </c:pt>
                <c:pt idx="3">
                  <c:v>24</c:v>
                </c:pt>
                <c:pt idx="4">
                  <c:v>48</c:v>
                </c:pt>
              </c:numCache>
            </c:numRef>
          </c:xVal>
          <c:yVal>
            <c:numRef>
              <c:f>MPN!$O$38:$O$42</c:f>
              <c:numCache>
                <c:formatCode>General</c:formatCode>
                <c:ptCount val="5"/>
                <c:pt idx="0">
                  <c:v>1</c:v>
                </c:pt>
                <c:pt idx="3">
                  <c:v>0.44637096774193546</c:v>
                </c:pt>
                <c:pt idx="4">
                  <c:v>0.46267921146953411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AB-43AB-B8B7-E6F1EFE4C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700447"/>
        <c:axId val="1832700927"/>
      </c:scatterChart>
      <c:valAx>
        <c:axId val="1832700447"/>
        <c:scaling>
          <c:orientation val="minMax"/>
          <c:max val="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(hours)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00927"/>
        <c:crossesAt val="1.0000000000000005E-8"/>
        <c:crossBetween val="midCat"/>
      </c:valAx>
      <c:valAx>
        <c:axId val="1832700927"/>
        <c:scaling>
          <c:logBase val="10"/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Norm. CFU/ml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2700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262438399933392"/>
          <c:y val="0.34295216862041672"/>
          <c:w val="0.52289414935967149"/>
          <c:h val="0.2580489029806080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289192</xdr:colOff>
      <xdr:row>44</xdr:row>
      <xdr:rowOff>119349</xdr:rowOff>
    </xdr:from>
    <xdr:to>
      <xdr:col>21</xdr:col>
      <xdr:colOff>200525</xdr:colOff>
      <xdr:row>61</xdr:row>
      <xdr:rowOff>160421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496B50-2D3B-EC18-6476-C8FABC781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359D-26D1-4F09-B7E4-912DA0F0EF06}">
  <dimension ref="A1:U74"/>
  <sheetViews>
    <sheetView tabSelected="1" topLeftCell="J37" zoomScale="76" zoomScaleNormal="76" workbookViewId="0">
      <selection activeCell="AB47" sqref="AB47"/>
    </sheetView>
  </sheetViews>
  <sheetFormatPr defaultRowHeight="14.4" x14ac:dyDescent="0.3"/>
  <cols>
    <col min="1" max="1" width="10" style="44" customWidth="1"/>
    <col min="10" max="10" width="9.6640625" customWidth="1"/>
    <col min="11" max="11" width="11" bestFit="1" customWidth="1"/>
    <col min="12" max="13" width="10" bestFit="1" customWidth="1"/>
  </cols>
  <sheetData>
    <row r="1" spans="1:16" ht="43.2" x14ac:dyDescent="0.3">
      <c r="A1" s="45" t="s">
        <v>102</v>
      </c>
      <c r="B1" s="17" t="s">
        <v>76</v>
      </c>
      <c r="C1" s="17" t="s">
        <v>77</v>
      </c>
      <c r="D1" s="17" t="s">
        <v>78</v>
      </c>
      <c r="E1" s="17" t="s">
        <v>100</v>
      </c>
      <c r="F1" s="17" t="s">
        <v>101</v>
      </c>
      <c r="G1" t="s">
        <v>81</v>
      </c>
      <c r="H1" t="s">
        <v>82</v>
      </c>
      <c r="I1" t="s">
        <v>83</v>
      </c>
      <c r="K1" t="s">
        <v>79</v>
      </c>
      <c r="L1" t="s">
        <v>80</v>
      </c>
      <c r="M1" t="s">
        <v>84</v>
      </c>
      <c r="N1" t="s">
        <v>85</v>
      </c>
      <c r="O1" t="s">
        <v>86</v>
      </c>
      <c r="P1" t="s">
        <v>87</v>
      </c>
    </row>
    <row r="2" spans="1:16" s="41" customFormat="1" x14ac:dyDescent="0.3">
      <c r="A2" s="44">
        <v>0</v>
      </c>
      <c r="B2" s="43">
        <v>3100000</v>
      </c>
      <c r="C2" s="43">
        <v>4800000</v>
      </c>
      <c r="D2" s="43">
        <v>1600000</v>
      </c>
      <c r="E2" s="43">
        <f>AVERAGE(B2:D2)</f>
        <v>3166666.6666666665</v>
      </c>
      <c r="F2" s="43">
        <f>STDEV(B2:E2)</f>
        <v>1307244.7700751724</v>
      </c>
      <c r="G2" s="41">
        <f>B2*50</f>
        <v>155000000</v>
      </c>
      <c r="H2" s="41">
        <f t="shared" ref="H2:I2" si="0">C2*50</f>
        <v>240000000</v>
      </c>
      <c r="I2" s="41">
        <f t="shared" si="0"/>
        <v>80000000</v>
      </c>
      <c r="K2" s="41">
        <v>6400000</v>
      </c>
      <c r="L2" s="41">
        <v>1500000</v>
      </c>
      <c r="M2" s="41">
        <v>9700000</v>
      </c>
      <c r="N2" s="41">
        <v>2400000</v>
      </c>
      <c r="O2" s="41">
        <v>3300000</v>
      </c>
      <c r="P2" s="41">
        <v>750000</v>
      </c>
    </row>
    <row r="3" spans="1:16" s="41" customFormat="1" x14ac:dyDescent="0.3">
      <c r="A3" s="44">
        <v>2</v>
      </c>
      <c r="B3" s="43">
        <v>1500000</v>
      </c>
      <c r="C3" s="43">
        <v>700000</v>
      </c>
      <c r="D3" s="43">
        <v>180000</v>
      </c>
      <c r="E3" s="43">
        <f t="shared" ref="E3:E6" si="1">AVERAGE(B3:D3)</f>
        <v>793333.33333333337</v>
      </c>
      <c r="F3" s="43">
        <f t="shared" ref="F3:F6" si="2">STDEV(B3:E3)</f>
        <v>542913.94857339549</v>
      </c>
      <c r="I3" s="43">
        <f>AVERAGE(G2:I2)</f>
        <v>158333333.33333334</v>
      </c>
      <c r="K3" s="41">
        <v>3100000</v>
      </c>
      <c r="L3" s="41">
        <v>710000</v>
      </c>
      <c r="M3" s="41">
        <v>1400000</v>
      </c>
      <c r="N3" s="41">
        <v>340000</v>
      </c>
      <c r="O3" s="41">
        <v>370000</v>
      </c>
      <c r="P3" s="41">
        <v>90000</v>
      </c>
    </row>
    <row r="4" spans="1:16" s="41" customFormat="1" x14ac:dyDescent="0.3">
      <c r="A4" s="44">
        <v>8</v>
      </c>
      <c r="B4" s="43">
        <v>1100000</v>
      </c>
      <c r="C4" s="43">
        <v>1400000</v>
      </c>
      <c r="D4" s="43">
        <v>1800000</v>
      </c>
      <c r="E4" s="43">
        <f t="shared" si="1"/>
        <v>1433333.3333333333</v>
      </c>
      <c r="F4" s="43">
        <f t="shared" si="2"/>
        <v>286744.17556808778</v>
      </c>
      <c r="K4" s="41">
        <v>2200000</v>
      </c>
      <c r="L4" s="41">
        <v>540000</v>
      </c>
      <c r="M4" s="41">
        <v>2900000</v>
      </c>
      <c r="N4" s="41">
        <v>690000</v>
      </c>
      <c r="O4" s="41">
        <v>3900000</v>
      </c>
      <c r="P4" s="41">
        <v>870000</v>
      </c>
    </row>
    <row r="5" spans="1:16" s="41" customFormat="1" x14ac:dyDescent="0.3">
      <c r="A5" s="44">
        <v>24</v>
      </c>
      <c r="B5" s="43">
        <v>1800000</v>
      </c>
      <c r="C5" s="43">
        <v>1700000</v>
      </c>
      <c r="D5" s="43">
        <v>1200000</v>
      </c>
      <c r="E5" s="43">
        <f t="shared" si="1"/>
        <v>1566666.6666666667</v>
      </c>
      <c r="F5" s="43">
        <f t="shared" si="2"/>
        <v>262466.92913372663</v>
      </c>
      <c r="K5" s="41">
        <v>3900000</v>
      </c>
      <c r="L5" s="41">
        <v>870000</v>
      </c>
      <c r="M5" s="41">
        <v>3600000</v>
      </c>
      <c r="N5" s="41">
        <v>830000</v>
      </c>
      <c r="O5" s="41">
        <v>2500000</v>
      </c>
      <c r="P5" s="41">
        <v>600000</v>
      </c>
    </row>
    <row r="6" spans="1:16" s="41" customFormat="1" x14ac:dyDescent="0.3">
      <c r="A6" s="44">
        <v>48</v>
      </c>
      <c r="B6" s="43">
        <v>830000</v>
      </c>
      <c r="C6" s="43">
        <v>830000</v>
      </c>
      <c r="D6" s="43">
        <v>490000</v>
      </c>
      <c r="E6" s="43">
        <f t="shared" si="1"/>
        <v>716666.66666666663</v>
      </c>
      <c r="F6" s="43">
        <f t="shared" si="2"/>
        <v>160277.53706895086</v>
      </c>
      <c r="K6" s="41">
        <v>1700000</v>
      </c>
      <c r="L6" s="41">
        <v>410000</v>
      </c>
      <c r="M6" s="41">
        <v>1700000</v>
      </c>
      <c r="N6" s="41">
        <v>410000</v>
      </c>
      <c r="O6" s="41">
        <v>1000000</v>
      </c>
      <c r="P6" s="41">
        <v>240000</v>
      </c>
    </row>
    <row r="9" spans="1:16" ht="43.2" x14ac:dyDescent="0.3">
      <c r="A9" s="45" t="s">
        <v>103</v>
      </c>
      <c r="B9" s="34" t="s">
        <v>88</v>
      </c>
      <c r="C9" s="34" t="s">
        <v>89</v>
      </c>
      <c r="D9" s="34" t="s">
        <v>90</v>
      </c>
      <c r="E9" s="34" t="s">
        <v>100</v>
      </c>
      <c r="F9" s="34" t="s">
        <v>101</v>
      </c>
      <c r="G9" t="s">
        <v>91</v>
      </c>
      <c r="H9" t="s">
        <v>92</v>
      </c>
      <c r="I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99</v>
      </c>
    </row>
    <row r="10" spans="1:16" x14ac:dyDescent="0.3">
      <c r="A10" s="44">
        <v>0</v>
      </c>
      <c r="B10" s="42">
        <v>4900000</v>
      </c>
      <c r="C10" s="42">
        <v>20000000</v>
      </c>
      <c r="D10" s="42">
        <v>12000000</v>
      </c>
      <c r="E10" s="42">
        <f>AVERAGE(B10:D10)</f>
        <v>12300000</v>
      </c>
      <c r="F10" s="42">
        <f>STDEV(B10:E10)</f>
        <v>6168198.0080625378</v>
      </c>
      <c r="G10" s="41">
        <f>B10*50</f>
        <v>245000000</v>
      </c>
      <c r="H10" s="41">
        <f t="shared" ref="H10" si="3">C10*50</f>
        <v>1000000000</v>
      </c>
      <c r="I10" s="41">
        <f t="shared" ref="I10" si="4">D10*50</f>
        <v>600000000</v>
      </c>
      <c r="J10" s="41"/>
      <c r="K10" s="41">
        <v>9900000</v>
      </c>
      <c r="L10" s="41">
        <v>2400000</v>
      </c>
      <c r="M10" s="41">
        <v>40000000</v>
      </c>
      <c r="N10" s="41">
        <v>9400000</v>
      </c>
      <c r="O10" s="41">
        <v>24000000</v>
      </c>
      <c r="P10" s="41">
        <v>5500000</v>
      </c>
    </row>
    <row r="11" spans="1:16" x14ac:dyDescent="0.3">
      <c r="A11" s="44">
        <v>2</v>
      </c>
      <c r="B11" s="42">
        <v>2100</v>
      </c>
      <c r="C11" s="42">
        <v>3900</v>
      </c>
      <c r="D11" s="42">
        <v>3900</v>
      </c>
      <c r="E11" s="42">
        <f t="shared" ref="E11:E14" si="5">AVERAGE(B11:D11)</f>
        <v>3300</v>
      </c>
      <c r="F11" s="42">
        <f t="shared" ref="F11:F14" si="6">STDEV(B11:E11)</f>
        <v>848.52813742385706</v>
      </c>
      <c r="G11" s="41"/>
      <c r="H11" s="41"/>
      <c r="I11" s="42">
        <f>AVERAGE(G10:I10)</f>
        <v>615000000</v>
      </c>
      <c r="J11" s="41"/>
      <c r="K11" s="41">
        <v>4500</v>
      </c>
      <c r="L11" s="41">
        <v>1000</v>
      </c>
      <c r="M11" s="41">
        <v>7800</v>
      </c>
      <c r="N11" s="41">
        <v>1900</v>
      </c>
      <c r="O11" s="41">
        <v>7800</v>
      </c>
      <c r="P11" s="41">
        <v>1900</v>
      </c>
    </row>
    <row r="12" spans="1:16" x14ac:dyDescent="0.3">
      <c r="A12" s="44">
        <v>8</v>
      </c>
      <c r="B12" s="42">
        <v>130</v>
      </c>
      <c r="C12" s="42">
        <v>240</v>
      </c>
      <c r="D12" s="42">
        <v>330</v>
      </c>
      <c r="E12" s="42">
        <f t="shared" si="5"/>
        <v>233.33333333333334</v>
      </c>
      <c r="F12" s="42">
        <f t="shared" si="6"/>
        <v>81.785627642568627</v>
      </c>
      <c r="G12" s="41"/>
      <c r="H12" s="41"/>
      <c r="I12" s="41"/>
      <c r="J12" s="41"/>
      <c r="K12" s="41">
        <v>260</v>
      </c>
      <c r="L12" s="41">
        <v>64</v>
      </c>
      <c r="M12" s="41">
        <v>500</v>
      </c>
      <c r="N12" s="41">
        <v>110</v>
      </c>
      <c r="O12" s="41">
        <v>690</v>
      </c>
      <c r="P12" s="41">
        <v>160</v>
      </c>
    </row>
    <row r="13" spans="1:16" x14ac:dyDescent="0.3">
      <c r="A13" s="44">
        <v>24</v>
      </c>
      <c r="B13" s="42">
        <v>11</v>
      </c>
      <c r="C13" s="42">
        <v>27</v>
      </c>
      <c r="D13" s="42">
        <v>12</v>
      </c>
      <c r="E13" s="42">
        <f t="shared" si="5"/>
        <v>16.666666666666668</v>
      </c>
      <c r="F13" s="42">
        <f t="shared" si="6"/>
        <v>7.318166133366713</v>
      </c>
      <c r="G13" s="41"/>
      <c r="H13" s="41"/>
      <c r="I13" s="41"/>
      <c r="J13" s="41"/>
      <c r="K13" s="41">
        <v>45</v>
      </c>
      <c r="L13" s="41">
        <v>2.7</v>
      </c>
      <c r="M13" s="41">
        <v>71</v>
      </c>
      <c r="N13" s="41">
        <v>10</v>
      </c>
      <c r="O13" s="41">
        <v>46</v>
      </c>
      <c r="P13" s="41">
        <v>2.9</v>
      </c>
    </row>
    <row r="14" spans="1:16" x14ac:dyDescent="0.3">
      <c r="A14" s="44">
        <v>48</v>
      </c>
      <c r="B14" s="42">
        <v>0</v>
      </c>
      <c r="C14" s="42">
        <v>5.5</v>
      </c>
      <c r="D14" s="42">
        <v>5.3</v>
      </c>
      <c r="E14" s="42">
        <f t="shared" si="5"/>
        <v>3.6</v>
      </c>
      <c r="F14" s="42">
        <f t="shared" si="6"/>
        <v>2.5468935326524091</v>
      </c>
      <c r="G14" s="41"/>
      <c r="H14" s="41"/>
      <c r="I14" s="41"/>
      <c r="J14" s="41"/>
      <c r="K14" s="41">
        <v>0</v>
      </c>
      <c r="L14" s="41">
        <v>0</v>
      </c>
      <c r="M14" s="41">
        <v>39</v>
      </c>
      <c r="N14" s="41">
        <v>0.78</v>
      </c>
      <c r="O14" s="41">
        <v>39</v>
      </c>
      <c r="P14" s="41">
        <v>0.71</v>
      </c>
    </row>
    <row r="17" spans="1:16" ht="43.2" x14ac:dyDescent="0.3">
      <c r="A17" s="45" t="s">
        <v>108</v>
      </c>
      <c r="B17" s="29" t="s">
        <v>124</v>
      </c>
      <c r="C17" s="29" t="s">
        <v>125</v>
      </c>
      <c r="D17" s="29" t="s">
        <v>126</v>
      </c>
      <c r="E17" s="29" t="s">
        <v>100</v>
      </c>
      <c r="F17" s="29" t="s">
        <v>101</v>
      </c>
      <c r="K17" t="s">
        <v>110</v>
      </c>
      <c r="L17" t="s">
        <v>111</v>
      </c>
      <c r="M17" t="s">
        <v>112</v>
      </c>
      <c r="N17" t="s">
        <v>113</v>
      </c>
      <c r="O17" t="s">
        <v>114</v>
      </c>
      <c r="P17" t="s">
        <v>115</v>
      </c>
    </row>
    <row r="18" spans="1:16" x14ac:dyDescent="0.3">
      <c r="A18" s="44">
        <v>24</v>
      </c>
      <c r="B18" s="50">
        <v>110000000</v>
      </c>
      <c r="C18" s="50">
        <v>98000000</v>
      </c>
      <c r="D18" s="50">
        <v>29000000</v>
      </c>
      <c r="E18" s="50">
        <f t="shared" ref="E18:E19" si="7">AVERAGE(B18:D18)</f>
        <v>79000000</v>
      </c>
      <c r="F18" s="50">
        <f t="shared" ref="F18:F19" si="8">STDEV(B18:E18)</f>
        <v>35693136.595149495</v>
      </c>
      <c r="K18" s="41">
        <v>220000000</v>
      </c>
      <c r="L18" s="41">
        <v>53000000</v>
      </c>
      <c r="M18" s="41">
        <v>200000000</v>
      </c>
      <c r="N18" s="41">
        <v>47000000</v>
      </c>
      <c r="O18" s="41">
        <v>59000000</v>
      </c>
      <c r="P18" s="41">
        <v>15000000</v>
      </c>
    </row>
    <row r="19" spans="1:16" x14ac:dyDescent="0.3">
      <c r="A19" s="44">
        <v>48</v>
      </c>
      <c r="B19" s="50">
        <v>98000000</v>
      </c>
      <c r="C19" s="50">
        <v>57000000</v>
      </c>
      <c r="D19" s="50">
        <v>18000000</v>
      </c>
      <c r="E19" s="50">
        <f t="shared" si="7"/>
        <v>57666666.666666664</v>
      </c>
      <c r="F19" s="50">
        <f t="shared" si="8"/>
        <v>32663265.129023604</v>
      </c>
      <c r="K19" s="41">
        <v>200000000</v>
      </c>
      <c r="L19" s="41">
        <v>47000000</v>
      </c>
      <c r="M19" s="41">
        <v>120000000</v>
      </c>
      <c r="N19" s="41">
        <v>27000000</v>
      </c>
      <c r="O19" s="41">
        <v>37000000</v>
      </c>
      <c r="P19" s="41">
        <v>8700000</v>
      </c>
    </row>
    <row r="20" spans="1:16" x14ac:dyDescent="0.3">
      <c r="K20" s="41"/>
      <c r="L20" s="41"/>
      <c r="M20" s="41"/>
      <c r="N20" s="41"/>
      <c r="O20" s="41"/>
      <c r="P20" s="41"/>
    </row>
    <row r="22" spans="1:16" ht="43.2" x14ac:dyDescent="0.3">
      <c r="A22" s="45" t="s">
        <v>109</v>
      </c>
      <c r="B22" s="32" t="s">
        <v>127</v>
      </c>
      <c r="C22" s="32" t="s">
        <v>128</v>
      </c>
      <c r="D22" s="32" t="s">
        <v>129</v>
      </c>
      <c r="E22" s="32" t="s">
        <v>100</v>
      </c>
      <c r="F22" s="32" t="s">
        <v>101</v>
      </c>
      <c r="K22" t="s">
        <v>116</v>
      </c>
      <c r="L22" t="s">
        <v>117</v>
      </c>
      <c r="M22" t="s">
        <v>118</v>
      </c>
      <c r="N22" t="s">
        <v>119</v>
      </c>
      <c r="O22" t="s">
        <v>120</v>
      </c>
      <c r="P22" t="s">
        <v>121</v>
      </c>
    </row>
    <row r="23" spans="1:16" x14ac:dyDescent="0.3">
      <c r="A23" s="44">
        <v>24</v>
      </c>
      <c r="B23" s="51">
        <v>910000000</v>
      </c>
      <c r="C23" s="51">
        <v>170000000</v>
      </c>
      <c r="D23" s="51">
        <v>260000000</v>
      </c>
      <c r="E23" s="51">
        <f t="shared" ref="E23:E24" si="9">AVERAGE(B23:D23)</f>
        <v>446666666.66666669</v>
      </c>
      <c r="F23" s="51">
        <f t="shared" ref="F23:F24" si="10">STDEV(B23:E23)</f>
        <v>329679979.50874859</v>
      </c>
      <c r="K23" s="41">
        <v>1800000000</v>
      </c>
      <c r="L23" s="41">
        <v>450000000</v>
      </c>
      <c r="M23" s="41">
        <v>340000000</v>
      </c>
      <c r="N23" s="41">
        <v>82000000</v>
      </c>
      <c r="O23" s="41">
        <v>530000000</v>
      </c>
      <c r="P23" s="41">
        <v>120000000</v>
      </c>
    </row>
    <row r="24" spans="1:16" x14ac:dyDescent="0.3">
      <c r="A24" s="44">
        <v>48</v>
      </c>
      <c r="B24" s="51">
        <v>870000000</v>
      </c>
      <c r="C24" s="51">
        <v>310000000</v>
      </c>
      <c r="D24" s="51">
        <v>520000000</v>
      </c>
      <c r="E24" s="51">
        <f t="shared" si="9"/>
        <v>566666666.66666663</v>
      </c>
      <c r="F24" s="51">
        <f t="shared" si="10"/>
        <v>230988215.18760577</v>
      </c>
      <c r="K24" s="41">
        <v>1700000000</v>
      </c>
      <c r="L24" s="41">
        <v>430000000</v>
      </c>
      <c r="M24" s="41">
        <v>660000000</v>
      </c>
      <c r="N24" s="41">
        <v>150000000</v>
      </c>
      <c r="O24" s="41">
        <v>1100000000</v>
      </c>
      <c r="P24" s="41">
        <v>250000000</v>
      </c>
    </row>
    <row r="27" spans="1:16" ht="28.8" x14ac:dyDescent="0.3">
      <c r="A27" s="45" t="s">
        <v>133</v>
      </c>
      <c r="B27" s="56" t="s">
        <v>130</v>
      </c>
      <c r="C27" s="56" t="s">
        <v>131</v>
      </c>
      <c r="D27" s="56" t="s">
        <v>132</v>
      </c>
      <c r="E27" s="56" t="s">
        <v>100</v>
      </c>
      <c r="F27" s="56" t="s">
        <v>101</v>
      </c>
      <c r="K27" t="s">
        <v>135</v>
      </c>
      <c r="L27" t="s">
        <v>136</v>
      </c>
      <c r="M27" t="s">
        <v>137</v>
      </c>
      <c r="N27" t="s">
        <v>138</v>
      </c>
      <c r="O27" t="s">
        <v>139</v>
      </c>
      <c r="P27" t="s">
        <v>140</v>
      </c>
    </row>
    <row r="28" spans="1:16" x14ac:dyDescent="0.3">
      <c r="A28" s="44">
        <v>24</v>
      </c>
      <c r="B28" s="57">
        <v>47000000</v>
      </c>
      <c r="C28" s="57">
        <v>96000000</v>
      </c>
      <c r="D28" s="57">
        <v>55000000</v>
      </c>
      <c r="E28" s="57">
        <f t="shared" ref="E28:E29" si="11">AVERAGE(B28:D28)</f>
        <v>66000000</v>
      </c>
      <c r="F28" s="57">
        <f t="shared" ref="F28:F29" si="12">STDEV(B28:E28)</f>
        <v>21463146.70934033</v>
      </c>
      <c r="K28" s="41">
        <v>98000000</v>
      </c>
      <c r="L28" s="41">
        <v>23000000</v>
      </c>
      <c r="M28" s="41">
        <v>200000000</v>
      </c>
      <c r="N28" s="41">
        <v>46000000</v>
      </c>
      <c r="O28" s="41">
        <v>120000000</v>
      </c>
      <c r="P28" s="41">
        <v>26000000</v>
      </c>
    </row>
    <row r="29" spans="1:16" x14ac:dyDescent="0.3">
      <c r="A29" s="44">
        <v>48</v>
      </c>
      <c r="B29" s="57">
        <v>44000000</v>
      </c>
      <c r="C29" s="57">
        <v>70000000</v>
      </c>
      <c r="D29" s="57">
        <v>65000000</v>
      </c>
      <c r="E29" s="57">
        <f t="shared" si="11"/>
        <v>59666666.666666664</v>
      </c>
      <c r="F29" s="57">
        <f t="shared" si="12"/>
        <v>11264496.832477219</v>
      </c>
      <c r="K29" s="41">
        <v>92000000</v>
      </c>
      <c r="L29" s="41">
        <v>21000000</v>
      </c>
      <c r="M29" s="41">
        <v>150000000</v>
      </c>
      <c r="N29" s="41">
        <v>33000000</v>
      </c>
      <c r="O29" s="41">
        <v>140000000</v>
      </c>
      <c r="P29" s="41">
        <v>31000000</v>
      </c>
    </row>
    <row r="30" spans="1:16" x14ac:dyDescent="0.3">
      <c r="K30" s="41"/>
      <c r="L30" s="41"/>
      <c r="M30" s="41"/>
      <c r="N30" s="41"/>
      <c r="O30" s="41"/>
      <c r="P30" s="41"/>
    </row>
    <row r="32" spans="1:16" ht="28.8" x14ac:dyDescent="0.3">
      <c r="A32" s="45" t="s">
        <v>134</v>
      </c>
      <c r="B32" s="16" t="s">
        <v>149</v>
      </c>
      <c r="C32" s="16" t="s">
        <v>150</v>
      </c>
      <c r="D32" s="16" t="s">
        <v>151</v>
      </c>
      <c r="E32" s="16" t="s">
        <v>100</v>
      </c>
      <c r="F32" s="16" t="s">
        <v>101</v>
      </c>
      <c r="K32" t="s">
        <v>141</v>
      </c>
      <c r="L32" t="s">
        <v>142</v>
      </c>
      <c r="M32" t="s">
        <v>143</v>
      </c>
      <c r="N32" t="s">
        <v>144</v>
      </c>
      <c r="O32" t="s">
        <v>145</v>
      </c>
      <c r="P32" t="s">
        <v>146</v>
      </c>
    </row>
    <row r="33" spans="1:21" x14ac:dyDescent="0.3">
      <c r="A33" s="44">
        <v>24</v>
      </c>
      <c r="B33" s="58">
        <v>390000000</v>
      </c>
      <c r="C33" s="58">
        <v>230000000</v>
      </c>
      <c r="D33" s="58">
        <v>310000000</v>
      </c>
      <c r="E33" s="58">
        <f t="shared" ref="E33:E34" si="13">AVERAGE(B33:D33)</f>
        <v>310000000</v>
      </c>
      <c r="F33" s="58">
        <f t="shared" ref="F33:F34" si="14">STDEV(B33:E33)</f>
        <v>65319726.474218078</v>
      </c>
      <c r="K33" s="41">
        <v>830000000</v>
      </c>
      <c r="L33" s="41">
        <v>180000000</v>
      </c>
      <c r="M33" s="41">
        <v>46000000</v>
      </c>
      <c r="N33" s="41">
        <v>11000000</v>
      </c>
      <c r="O33" s="41">
        <v>650000000</v>
      </c>
      <c r="P33" s="41">
        <v>150000000</v>
      </c>
    </row>
    <row r="34" spans="1:21" x14ac:dyDescent="0.3">
      <c r="A34" s="44">
        <v>48</v>
      </c>
      <c r="B34" s="58">
        <v>780000000</v>
      </c>
      <c r="C34" s="58">
        <v>390000000</v>
      </c>
      <c r="D34" s="58">
        <v>420000000</v>
      </c>
      <c r="E34" s="58">
        <f t="shared" si="13"/>
        <v>530000000</v>
      </c>
      <c r="F34" s="58">
        <f t="shared" si="14"/>
        <v>177200451.46669349</v>
      </c>
      <c r="K34" s="41">
        <v>1600000000</v>
      </c>
      <c r="L34" s="41">
        <v>390000000</v>
      </c>
      <c r="M34" s="41">
        <v>830000000</v>
      </c>
      <c r="N34" s="41">
        <v>180000000</v>
      </c>
      <c r="O34" s="41">
        <v>880000000</v>
      </c>
      <c r="P34" s="41">
        <v>200000000</v>
      </c>
    </row>
    <row r="37" spans="1:21" ht="43.2" x14ac:dyDescent="0.3">
      <c r="A37" s="45" t="s">
        <v>104</v>
      </c>
      <c r="B37" s="17" t="s">
        <v>76</v>
      </c>
      <c r="C37" s="17" t="s">
        <v>77</v>
      </c>
      <c r="D37" s="17" t="s">
        <v>78</v>
      </c>
      <c r="E37" s="17" t="s">
        <v>100</v>
      </c>
      <c r="F37" s="17" t="s">
        <v>101</v>
      </c>
      <c r="I37" s="46" t="s">
        <v>105</v>
      </c>
      <c r="J37" s="52" t="s">
        <v>152</v>
      </c>
      <c r="K37" s="53" t="s">
        <v>153</v>
      </c>
      <c r="L37" s="54" t="s">
        <v>154</v>
      </c>
      <c r="M37" s="55" t="s">
        <v>155</v>
      </c>
      <c r="N37" s="60" t="s">
        <v>157</v>
      </c>
      <c r="O37" s="59" t="s">
        <v>156</v>
      </c>
      <c r="P37" s="52" t="s">
        <v>101</v>
      </c>
      <c r="Q37" s="53" t="s">
        <v>101</v>
      </c>
      <c r="R37" s="54" t="s">
        <v>101</v>
      </c>
      <c r="S37" s="55" t="s">
        <v>101</v>
      </c>
      <c r="T37" s="60" t="s">
        <v>101</v>
      </c>
      <c r="U37" s="59" t="s">
        <v>101</v>
      </c>
    </row>
    <row r="38" spans="1:21" x14ac:dyDescent="0.3">
      <c r="A38" s="44">
        <v>0</v>
      </c>
      <c r="B38" s="43">
        <f>B2/B$2</f>
        <v>1</v>
      </c>
      <c r="C38" s="43">
        <f t="shared" ref="C38:D38" si="15">C2/C$2</f>
        <v>1</v>
      </c>
      <c r="D38" s="43">
        <f t="shared" si="15"/>
        <v>1</v>
      </c>
      <c r="E38" s="43">
        <f>AVERAGE(B38:D38)</f>
        <v>1</v>
      </c>
      <c r="F38" s="43">
        <f>STDEV(B38:E38)</f>
        <v>0</v>
      </c>
      <c r="I38" s="47">
        <v>0</v>
      </c>
      <c r="J38" s="49">
        <v>1</v>
      </c>
      <c r="K38" s="17">
        <v>1</v>
      </c>
      <c r="L38" s="32">
        <v>1</v>
      </c>
      <c r="M38" s="29">
        <v>1</v>
      </c>
      <c r="N38" s="16">
        <v>1</v>
      </c>
      <c r="O38" s="56">
        <v>1</v>
      </c>
      <c r="P38" s="49">
        <v>0</v>
      </c>
      <c r="Q38" s="17">
        <v>0</v>
      </c>
      <c r="R38" s="32">
        <v>0</v>
      </c>
      <c r="S38" s="29">
        <v>0</v>
      </c>
      <c r="T38" s="16">
        <v>0</v>
      </c>
      <c r="U38" s="56">
        <v>0</v>
      </c>
    </row>
    <row r="39" spans="1:21" x14ac:dyDescent="0.3">
      <c r="A39" s="44">
        <v>2</v>
      </c>
      <c r="B39" s="43">
        <f t="shared" ref="B39:D39" si="16">B3/B$2</f>
        <v>0.4838709677419355</v>
      </c>
      <c r="C39" s="43">
        <f t="shared" si="16"/>
        <v>0.14583333333333334</v>
      </c>
      <c r="D39" s="43">
        <f t="shared" si="16"/>
        <v>0.1125</v>
      </c>
      <c r="E39" s="43">
        <f t="shared" ref="E39:E42" si="17">AVERAGE(B39:D39)</f>
        <v>0.2474014336917563</v>
      </c>
      <c r="F39" s="43">
        <f t="shared" ref="F39:F42" si="18">STDEV(B39:E39)</f>
        <v>0.16776205009518572</v>
      </c>
      <c r="I39" s="47">
        <v>2</v>
      </c>
      <c r="J39" s="49">
        <v>3.1619047619047615E-4</v>
      </c>
      <c r="K39" s="17">
        <v>0.2474014336917563</v>
      </c>
      <c r="L39" s="32"/>
      <c r="M39" s="29"/>
      <c r="N39" s="16"/>
      <c r="O39" s="56"/>
      <c r="P39" s="49">
        <v>9.5558389980637541E-5</v>
      </c>
      <c r="Q39" s="17">
        <v>0.16776205009518572</v>
      </c>
      <c r="R39" s="32"/>
      <c r="S39" s="29"/>
      <c r="T39" s="16"/>
      <c r="U39" s="56"/>
    </row>
    <row r="40" spans="1:21" x14ac:dyDescent="0.3">
      <c r="A40" s="44">
        <v>8</v>
      </c>
      <c r="B40" s="43">
        <f t="shared" ref="B40:D40" si="19">B4/B$2</f>
        <v>0.35483870967741937</v>
      </c>
      <c r="C40" s="43">
        <f t="shared" si="19"/>
        <v>0.29166666666666669</v>
      </c>
      <c r="D40" s="43">
        <f t="shared" si="19"/>
        <v>1.125</v>
      </c>
      <c r="E40" s="43">
        <f t="shared" si="17"/>
        <v>0.59050179211469533</v>
      </c>
      <c r="F40" s="43">
        <f t="shared" si="18"/>
        <v>0.37882619359365838</v>
      </c>
      <c r="I40" s="47">
        <v>8</v>
      </c>
      <c r="J40" s="49">
        <v>2.2010204081632654E-5</v>
      </c>
      <c r="K40" s="17">
        <v>0.59050179211469533</v>
      </c>
      <c r="L40" s="32"/>
      <c r="M40" s="29"/>
      <c r="N40" s="16"/>
      <c r="O40" s="56"/>
      <c r="P40" s="49">
        <v>7.0893378850160946E-6</v>
      </c>
      <c r="Q40" s="17">
        <v>0.37882619359365838</v>
      </c>
      <c r="R40" s="32"/>
      <c r="S40" s="29"/>
      <c r="T40" s="16"/>
      <c r="U40" s="56"/>
    </row>
    <row r="41" spans="1:21" x14ac:dyDescent="0.3">
      <c r="A41" s="44">
        <v>24</v>
      </c>
      <c r="B41" s="43">
        <f t="shared" ref="B41:D41" si="20">B5/B$2</f>
        <v>0.58064516129032262</v>
      </c>
      <c r="C41" s="43">
        <f t="shared" si="20"/>
        <v>0.35416666666666669</v>
      </c>
      <c r="D41" s="43">
        <f t="shared" si="20"/>
        <v>0.75</v>
      </c>
      <c r="E41" s="43">
        <f t="shared" si="17"/>
        <v>0.56160394265232971</v>
      </c>
      <c r="F41" s="43">
        <f t="shared" si="18"/>
        <v>0.1621582209856767</v>
      </c>
      <c r="I41" s="47">
        <v>24</v>
      </c>
      <c r="J41" s="49">
        <v>1.5316326530612242E-6</v>
      </c>
      <c r="K41" s="17">
        <v>0.56160394265232971</v>
      </c>
      <c r="L41" s="32">
        <v>1.4392063492063494</v>
      </c>
      <c r="M41" s="29">
        <v>0.45461469534050186</v>
      </c>
      <c r="N41" s="16">
        <v>0.76950113378684815</v>
      </c>
      <c r="O41" s="56">
        <v>0.44637096774193546</v>
      </c>
      <c r="P41" s="49">
        <v>5.2420450696807452E-7</v>
      </c>
      <c r="Q41" s="17">
        <v>0.1621582209856767</v>
      </c>
      <c r="R41" s="32">
        <v>1.6123121490928394</v>
      </c>
      <c r="S41" s="29">
        <v>0.18266013096091521</v>
      </c>
      <c r="T41" s="16">
        <v>0.59567682783748221</v>
      </c>
      <c r="U41" s="56">
        <v>0.18094583032969014</v>
      </c>
    </row>
    <row r="42" spans="1:21" x14ac:dyDescent="0.3">
      <c r="A42" s="44">
        <v>48</v>
      </c>
      <c r="B42" s="43">
        <f t="shared" ref="B42:D42" si="21">B6/B$2</f>
        <v>0.26774193548387099</v>
      </c>
      <c r="C42" s="43">
        <f t="shared" si="21"/>
        <v>0.17291666666666666</v>
      </c>
      <c r="D42" s="43">
        <f t="shared" si="21"/>
        <v>0.30625000000000002</v>
      </c>
      <c r="E42" s="43">
        <f t="shared" si="17"/>
        <v>0.24896953405017921</v>
      </c>
      <c r="F42" s="43">
        <f t="shared" si="18"/>
        <v>5.6028247257582542E-2</v>
      </c>
      <c r="I42" s="47">
        <v>48</v>
      </c>
      <c r="J42" s="49">
        <v>2.388888888888889E-7</v>
      </c>
      <c r="K42" s="17">
        <v>0.24896953405017921</v>
      </c>
      <c r="L42" s="32">
        <v>1.5758956916099773</v>
      </c>
      <c r="M42" s="29">
        <v>0.36491935483870969</v>
      </c>
      <c r="N42" s="16">
        <v>1.4245578231292517</v>
      </c>
      <c r="O42" s="56">
        <v>0.46267921146953411</v>
      </c>
      <c r="P42" s="49">
        <v>1.8210870447870847E-7</v>
      </c>
      <c r="Q42" s="17">
        <v>5.6028247257582542E-2</v>
      </c>
      <c r="R42" s="32">
        <v>1.4149929749882679</v>
      </c>
      <c r="S42" s="29">
        <v>0.18910588175056947</v>
      </c>
      <c r="T42" s="16">
        <v>1.2503042010336536</v>
      </c>
      <c r="U42" s="56">
        <v>0.24738112471311544</v>
      </c>
    </row>
    <row r="45" spans="1:21" ht="28.8" x14ac:dyDescent="0.3">
      <c r="A45" s="45" t="s">
        <v>103</v>
      </c>
      <c r="B45" s="34" t="s">
        <v>88</v>
      </c>
      <c r="C45" s="34" t="s">
        <v>89</v>
      </c>
      <c r="D45" s="34" t="s">
        <v>90</v>
      </c>
      <c r="E45" s="34" t="s">
        <v>100</v>
      </c>
      <c r="F45" s="34" t="s">
        <v>101</v>
      </c>
    </row>
    <row r="46" spans="1:21" x14ac:dyDescent="0.3">
      <c r="A46" s="44">
        <v>0</v>
      </c>
      <c r="B46" s="42">
        <f>B10/B$10</f>
        <v>1</v>
      </c>
      <c r="C46" s="42">
        <f t="shared" ref="C46:D46" si="22">C10/C$10</f>
        <v>1</v>
      </c>
      <c r="D46" s="42">
        <f t="shared" si="22"/>
        <v>1</v>
      </c>
      <c r="E46" s="42">
        <f>AVERAGE(B46:D46)</f>
        <v>1</v>
      </c>
      <c r="F46" s="42">
        <f>STDEV(B46:E46)</f>
        <v>0</v>
      </c>
    </row>
    <row r="47" spans="1:21" x14ac:dyDescent="0.3">
      <c r="A47" s="44">
        <v>2</v>
      </c>
      <c r="B47" s="42">
        <f t="shared" ref="B47:D47" si="23">B11/B$10</f>
        <v>4.2857142857142855E-4</v>
      </c>
      <c r="C47" s="42">
        <f t="shared" si="23"/>
        <v>1.95E-4</v>
      </c>
      <c r="D47" s="42">
        <f t="shared" si="23"/>
        <v>3.2499999999999999E-4</v>
      </c>
      <c r="E47" s="42">
        <f t="shared" ref="E47:E50" si="24">AVERAGE(B47:D47)</f>
        <v>3.1619047619047615E-4</v>
      </c>
      <c r="F47" s="42">
        <f t="shared" ref="F47:F50" si="25">STDEV(B47:E47)</f>
        <v>9.5558389980637541E-5</v>
      </c>
    </row>
    <row r="48" spans="1:21" x14ac:dyDescent="0.3">
      <c r="A48" s="44">
        <v>8</v>
      </c>
      <c r="B48" s="42">
        <f t="shared" ref="B48:D48" si="26">B12/B$10</f>
        <v>2.653061224489796E-5</v>
      </c>
      <c r="C48" s="42">
        <f t="shared" si="26"/>
        <v>1.2E-5</v>
      </c>
      <c r="D48" s="42">
        <f t="shared" si="26"/>
        <v>2.7500000000000001E-5</v>
      </c>
      <c r="E48" s="42">
        <f t="shared" si="24"/>
        <v>2.2010204081632654E-5</v>
      </c>
      <c r="F48" s="42">
        <f t="shared" si="25"/>
        <v>7.0893378850160946E-6</v>
      </c>
    </row>
    <row r="49" spans="1:6" x14ac:dyDescent="0.3">
      <c r="A49" s="44">
        <v>24</v>
      </c>
      <c r="B49" s="42">
        <f t="shared" ref="B49:D49" si="27">B13/B$10</f>
        <v>2.2448979591836734E-6</v>
      </c>
      <c r="C49" s="42">
        <f t="shared" si="27"/>
        <v>1.35E-6</v>
      </c>
      <c r="D49" s="42">
        <f t="shared" si="27"/>
        <v>9.9999999999999995E-7</v>
      </c>
      <c r="E49" s="42">
        <f t="shared" si="24"/>
        <v>1.5316326530612242E-6</v>
      </c>
      <c r="F49" s="42">
        <f t="shared" si="25"/>
        <v>5.2420450696807452E-7</v>
      </c>
    </row>
    <row r="50" spans="1:6" x14ac:dyDescent="0.3">
      <c r="A50" s="44">
        <v>48</v>
      </c>
      <c r="B50" s="42">
        <f t="shared" ref="B50:D50" si="28">B14/B$10</f>
        <v>0</v>
      </c>
      <c r="C50" s="42">
        <f t="shared" si="28"/>
        <v>2.7500000000000001E-7</v>
      </c>
      <c r="D50" s="42">
        <f t="shared" si="28"/>
        <v>4.4166666666666664E-7</v>
      </c>
      <c r="E50" s="42">
        <f t="shared" si="24"/>
        <v>2.388888888888889E-7</v>
      </c>
      <c r="F50" s="42">
        <f t="shared" si="25"/>
        <v>1.8210870447870847E-7</v>
      </c>
    </row>
    <row r="53" spans="1:6" ht="57.6" x14ac:dyDescent="0.3">
      <c r="A53" s="45" t="s">
        <v>122</v>
      </c>
      <c r="B53" s="29" t="s">
        <v>124</v>
      </c>
      <c r="C53" s="29" t="s">
        <v>125</v>
      </c>
      <c r="D53" s="29" t="s">
        <v>126</v>
      </c>
      <c r="E53" s="29" t="s">
        <v>100</v>
      </c>
      <c r="F53" s="29" t="s">
        <v>101</v>
      </c>
    </row>
    <row r="54" spans="1:6" x14ac:dyDescent="0.3">
      <c r="A54" s="45">
        <v>0</v>
      </c>
      <c r="B54" s="50">
        <f>G2/G$2</f>
        <v>1</v>
      </c>
      <c r="C54" s="50">
        <f t="shared" ref="C54:D54" si="29">H2/H$2</f>
        <v>1</v>
      </c>
      <c r="D54" s="50">
        <f t="shared" si="29"/>
        <v>1</v>
      </c>
      <c r="E54" s="50">
        <f t="shared" ref="E54:E56" si="30">AVERAGE(B54:D54)</f>
        <v>1</v>
      </c>
      <c r="F54" s="50">
        <f t="shared" ref="F54:F56" si="31">STDEV(B54:E54)</f>
        <v>0</v>
      </c>
    </row>
    <row r="55" spans="1:6" x14ac:dyDescent="0.3">
      <c r="A55" s="44">
        <v>24</v>
      </c>
      <c r="B55" s="50">
        <f>B18/G$2</f>
        <v>0.70967741935483875</v>
      </c>
      <c r="C55" s="50">
        <f t="shared" ref="C55:D55" si="32">C18/H$2</f>
        <v>0.40833333333333333</v>
      </c>
      <c r="D55" s="50">
        <f t="shared" si="32"/>
        <v>0.36249999999999999</v>
      </c>
      <c r="E55" s="50">
        <f t="shared" si="30"/>
        <v>0.49350358422939072</v>
      </c>
      <c r="F55" s="50">
        <f t="shared" si="31"/>
        <v>0.15399895855869586</v>
      </c>
    </row>
    <row r="56" spans="1:6" x14ac:dyDescent="0.3">
      <c r="A56" s="44">
        <v>48</v>
      </c>
      <c r="B56" s="50">
        <f>B19/G$2</f>
        <v>0.63225806451612898</v>
      </c>
      <c r="C56" s="50">
        <f t="shared" ref="C56" si="33">C19/H$2</f>
        <v>0.23749999999999999</v>
      </c>
      <c r="D56" s="50">
        <f t="shared" ref="D56" si="34">D19/I$2</f>
        <v>0.22500000000000001</v>
      </c>
      <c r="E56" s="50">
        <f t="shared" si="30"/>
        <v>0.36491935483870969</v>
      </c>
      <c r="F56" s="50">
        <f t="shared" si="31"/>
        <v>0.18910588175056947</v>
      </c>
    </row>
    <row r="59" spans="1:6" ht="57.6" x14ac:dyDescent="0.3">
      <c r="A59" s="45" t="s">
        <v>123</v>
      </c>
      <c r="B59" s="32" t="s">
        <v>127</v>
      </c>
      <c r="C59" s="32" t="s">
        <v>128</v>
      </c>
      <c r="D59" s="32" t="s">
        <v>129</v>
      </c>
      <c r="E59" s="32" t="s">
        <v>100</v>
      </c>
      <c r="F59" s="32" t="s">
        <v>101</v>
      </c>
    </row>
    <row r="60" spans="1:6" x14ac:dyDescent="0.3">
      <c r="A60" s="45">
        <v>0</v>
      </c>
      <c r="B60" s="51">
        <f>G10/G$10</f>
        <v>1</v>
      </c>
      <c r="C60" s="51">
        <f t="shared" ref="C60:D60" si="35">H10/H$10</f>
        <v>1</v>
      </c>
      <c r="D60" s="51">
        <f t="shared" si="35"/>
        <v>1</v>
      </c>
      <c r="E60" s="51">
        <f t="shared" ref="E60" si="36">AVERAGE(B60:D60)</f>
        <v>1</v>
      </c>
      <c r="F60" s="51">
        <f t="shared" ref="F60" si="37">STDEV(B60:E60)</f>
        <v>0</v>
      </c>
    </row>
    <row r="61" spans="1:6" x14ac:dyDescent="0.3">
      <c r="A61" s="44">
        <v>24</v>
      </c>
      <c r="B61" s="51">
        <f>B23/G$10</f>
        <v>3.7142857142857144</v>
      </c>
      <c r="C61" s="51">
        <f t="shared" ref="C61:D61" si="38">C23/H$10</f>
        <v>0.17</v>
      </c>
      <c r="D61" s="51">
        <f t="shared" si="38"/>
        <v>0.43333333333333335</v>
      </c>
      <c r="E61" s="51">
        <f t="shared" ref="E61:E62" si="39">AVERAGE(B61:D61)</f>
        <v>1.4392063492063494</v>
      </c>
      <c r="F61" s="51">
        <f t="shared" ref="F61:F62" si="40">STDEV(B61:E61)</f>
        <v>1.6123121490928394</v>
      </c>
    </row>
    <row r="62" spans="1:6" x14ac:dyDescent="0.3">
      <c r="A62" s="44">
        <v>48</v>
      </c>
      <c r="B62" s="51">
        <f>B24/G$10</f>
        <v>3.5510204081632653</v>
      </c>
      <c r="C62" s="51">
        <f t="shared" ref="C62" si="41">C24/H$10</f>
        <v>0.31</v>
      </c>
      <c r="D62" s="51">
        <f t="shared" ref="D62" si="42">D24/I$10</f>
        <v>0.8666666666666667</v>
      </c>
      <c r="E62" s="51">
        <f t="shared" si="39"/>
        <v>1.5758956916099773</v>
      </c>
      <c r="F62" s="51">
        <f t="shared" si="40"/>
        <v>1.4149929749882679</v>
      </c>
    </row>
    <row r="65" spans="1:6" ht="28.8" x14ac:dyDescent="0.3">
      <c r="A65" s="45" t="s">
        <v>147</v>
      </c>
      <c r="B65" s="56" t="s">
        <v>130</v>
      </c>
      <c r="C65" s="56" t="s">
        <v>131</v>
      </c>
      <c r="D65" s="56" t="s">
        <v>132</v>
      </c>
      <c r="E65" s="56" t="s">
        <v>100</v>
      </c>
      <c r="F65" s="56" t="s">
        <v>101</v>
      </c>
    </row>
    <row r="66" spans="1:6" x14ac:dyDescent="0.3">
      <c r="A66" s="45">
        <v>0</v>
      </c>
      <c r="B66" s="57">
        <f>G2/G$2</f>
        <v>1</v>
      </c>
      <c r="C66" s="57">
        <f t="shared" ref="C66:D66" si="43">H2/H$2</f>
        <v>1</v>
      </c>
      <c r="D66" s="57">
        <f t="shared" si="43"/>
        <v>1</v>
      </c>
      <c r="E66" s="57">
        <f t="shared" ref="E66:E68" si="44">AVERAGE(B66:D66)</f>
        <v>1</v>
      </c>
      <c r="F66" s="57">
        <f t="shared" ref="F66:F68" si="45">STDEV(B66:E66)</f>
        <v>0</v>
      </c>
    </row>
    <row r="67" spans="1:6" x14ac:dyDescent="0.3">
      <c r="A67" s="44">
        <v>24</v>
      </c>
      <c r="B67" s="57">
        <f>B28/G$2</f>
        <v>0.3032258064516129</v>
      </c>
      <c r="C67" s="57">
        <f t="shared" ref="C67:D67" si="46">C28/H$2</f>
        <v>0.4</v>
      </c>
      <c r="D67" s="57">
        <f t="shared" si="46"/>
        <v>0.6875</v>
      </c>
      <c r="E67" s="57">
        <f t="shared" si="44"/>
        <v>0.46357526881720429</v>
      </c>
      <c r="F67" s="57">
        <f t="shared" si="45"/>
        <v>0.16319318829881907</v>
      </c>
    </row>
    <row r="68" spans="1:6" x14ac:dyDescent="0.3">
      <c r="A68" s="44">
        <v>48</v>
      </c>
      <c r="B68" s="57">
        <f>B29/G$2</f>
        <v>0.28387096774193549</v>
      </c>
      <c r="C68" s="57">
        <f t="shared" ref="C68" si="47">C29/H$2</f>
        <v>0.29166666666666669</v>
      </c>
      <c r="D68" s="57">
        <f t="shared" ref="D68" si="48">D29/I$2</f>
        <v>0.8125</v>
      </c>
      <c r="E68" s="57">
        <f t="shared" si="44"/>
        <v>0.46267921146953411</v>
      </c>
      <c r="F68" s="57">
        <f t="shared" si="45"/>
        <v>0.24738112471311544</v>
      </c>
    </row>
    <row r="71" spans="1:6" ht="28.8" x14ac:dyDescent="0.3">
      <c r="A71" s="45" t="s">
        <v>148</v>
      </c>
      <c r="B71" s="16" t="s">
        <v>149</v>
      </c>
      <c r="C71" s="16" t="s">
        <v>150</v>
      </c>
      <c r="D71" s="16" t="s">
        <v>151</v>
      </c>
      <c r="E71" s="16" t="s">
        <v>100</v>
      </c>
      <c r="F71" s="16" t="s">
        <v>101</v>
      </c>
    </row>
    <row r="72" spans="1:6" x14ac:dyDescent="0.3">
      <c r="A72" s="45">
        <v>0</v>
      </c>
      <c r="B72" s="58">
        <f>G10/G$10</f>
        <v>1</v>
      </c>
      <c r="C72" s="58">
        <f t="shared" ref="C72:D72" si="49">H10/H$10</f>
        <v>1</v>
      </c>
      <c r="D72" s="58">
        <f t="shared" si="49"/>
        <v>1</v>
      </c>
      <c r="E72" s="58">
        <f t="shared" ref="E72:E74" si="50">AVERAGE(B72:D72)</f>
        <v>1</v>
      </c>
      <c r="F72" s="58">
        <f t="shared" ref="F72:F74" si="51">STDEV(B72:E72)</f>
        <v>0</v>
      </c>
    </row>
    <row r="73" spans="1:6" x14ac:dyDescent="0.3">
      <c r="A73" s="44">
        <v>24</v>
      </c>
      <c r="B73" s="58">
        <f>B33/G$10</f>
        <v>1.5918367346938775</v>
      </c>
      <c r="C73" s="58">
        <f t="shared" ref="C73:D73" si="52">C33/H$10</f>
        <v>0.23</v>
      </c>
      <c r="D73" s="58">
        <f t="shared" si="52"/>
        <v>0.51666666666666672</v>
      </c>
      <c r="E73" s="58">
        <f t="shared" si="50"/>
        <v>0.77950113378684804</v>
      </c>
      <c r="F73" s="58">
        <f t="shared" si="51"/>
        <v>0.58620888815062222</v>
      </c>
    </row>
    <row r="74" spans="1:6" x14ac:dyDescent="0.3">
      <c r="A74" s="44">
        <v>48</v>
      </c>
      <c r="B74" s="58">
        <f>B34/G$10</f>
        <v>3.1836734693877551</v>
      </c>
      <c r="C74" s="58">
        <f t="shared" ref="C74" si="53">C34/H$10</f>
        <v>0.39</v>
      </c>
      <c r="D74" s="58">
        <f t="shared" ref="D74" si="54">D34/I$10</f>
        <v>0.7</v>
      </c>
      <c r="E74" s="58">
        <f t="shared" si="50"/>
        <v>1.4245578231292517</v>
      </c>
      <c r="F74" s="58">
        <f t="shared" si="51"/>
        <v>1.2503042010336536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BDDC-CBD0-4F1C-9522-6CD6E92B995F}">
  <sheetPr>
    <pageSetUpPr fitToPage="1"/>
  </sheetPr>
  <dimension ref="A1:M44"/>
  <sheetViews>
    <sheetView topLeftCell="A25" workbookViewId="0">
      <selection activeCell="G33" sqref="G33"/>
    </sheetView>
  </sheetViews>
  <sheetFormatPr defaultRowHeight="14.4" x14ac:dyDescent="0.3"/>
  <cols>
    <col min="1" max="1" width="39.6640625" customWidth="1"/>
    <col min="2" max="4" width="11" customWidth="1"/>
    <col min="5" max="7" width="12.44140625" customWidth="1"/>
    <col min="10" max="10" width="13.109375" customWidth="1"/>
    <col min="11" max="11" width="11.5546875" customWidth="1"/>
  </cols>
  <sheetData>
    <row r="1" spans="1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t="s">
        <v>19</v>
      </c>
      <c r="K1" t="s">
        <v>21</v>
      </c>
      <c r="L1" t="s">
        <v>22</v>
      </c>
    </row>
    <row r="2" spans="1:13" x14ac:dyDescent="0.3">
      <c r="A2" s="4" t="s">
        <v>6</v>
      </c>
      <c r="B2" s="5" t="s">
        <v>12</v>
      </c>
      <c r="C2" s="5" t="s">
        <v>12</v>
      </c>
      <c r="D2" s="5" t="s">
        <v>12</v>
      </c>
      <c r="E2" s="10" t="s">
        <v>13</v>
      </c>
      <c r="F2" s="10" t="s">
        <v>13</v>
      </c>
      <c r="G2" s="10" t="s">
        <v>13</v>
      </c>
      <c r="H2" t="s">
        <v>10</v>
      </c>
      <c r="J2" s="14" t="s">
        <v>20</v>
      </c>
      <c r="K2">
        <v>6</v>
      </c>
      <c r="L2">
        <v>3.5</v>
      </c>
      <c r="M2">
        <f>SUM(K2:K4)</f>
        <v>30</v>
      </c>
    </row>
    <row r="3" spans="1:13" x14ac:dyDescent="0.3">
      <c r="A3" s="1" t="s">
        <v>7</v>
      </c>
      <c r="B3" s="6" t="s">
        <v>12</v>
      </c>
      <c r="C3" s="6" t="s">
        <v>12</v>
      </c>
      <c r="D3" s="6" t="s">
        <v>12</v>
      </c>
      <c r="E3" s="11" t="s">
        <v>13</v>
      </c>
      <c r="F3" s="11" t="s">
        <v>13</v>
      </c>
      <c r="G3" s="11" t="s">
        <v>13</v>
      </c>
      <c r="H3" t="s">
        <v>10</v>
      </c>
      <c r="J3" t="s">
        <v>63</v>
      </c>
      <c r="K3">
        <v>12</v>
      </c>
      <c r="L3">
        <v>6.5</v>
      </c>
    </row>
    <row r="4" spans="1:13" x14ac:dyDescent="0.3">
      <c r="A4" s="2" t="s">
        <v>8</v>
      </c>
      <c r="B4" s="7" t="s">
        <v>14</v>
      </c>
      <c r="C4" s="7" t="s">
        <v>14</v>
      </c>
      <c r="D4" s="7" t="s">
        <v>14</v>
      </c>
      <c r="E4" s="12" t="s">
        <v>15</v>
      </c>
      <c r="F4" s="12" t="s">
        <v>15</v>
      </c>
      <c r="G4" s="12" t="s">
        <v>15</v>
      </c>
      <c r="H4" t="s">
        <v>11</v>
      </c>
      <c r="J4" t="s">
        <v>64</v>
      </c>
      <c r="K4">
        <v>12</v>
      </c>
      <c r="L4">
        <v>6.5</v>
      </c>
    </row>
    <row r="5" spans="1:13" x14ac:dyDescent="0.3">
      <c r="A5" s="3" t="s">
        <v>9</v>
      </c>
      <c r="B5" s="8" t="s">
        <v>14</v>
      </c>
      <c r="C5" s="8" t="s">
        <v>14</v>
      </c>
      <c r="D5" s="8" t="s">
        <v>14</v>
      </c>
      <c r="E5" s="13" t="s">
        <v>15</v>
      </c>
      <c r="F5" s="13" t="s">
        <v>15</v>
      </c>
      <c r="G5" s="13" t="s">
        <v>15</v>
      </c>
      <c r="H5" t="s">
        <v>11</v>
      </c>
      <c r="J5" s="15" t="s">
        <v>65</v>
      </c>
      <c r="K5" s="15">
        <v>20</v>
      </c>
      <c r="L5">
        <v>10</v>
      </c>
    </row>
    <row r="6" spans="1:13" x14ac:dyDescent="0.3">
      <c r="J6" s="15" t="s">
        <v>23</v>
      </c>
      <c r="K6" s="15">
        <v>20</v>
      </c>
      <c r="L6">
        <v>10</v>
      </c>
    </row>
    <row r="7" spans="1:13" x14ac:dyDescent="0.3">
      <c r="A7" s="4" t="s">
        <v>16</v>
      </c>
      <c r="B7" s="9">
        <v>0.73958333333333337</v>
      </c>
      <c r="C7" s="18" t="s">
        <v>40</v>
      </c>
      <c r="K7">
        <f>SUM(K2:K6)</f>
        <v>70</v>
      </c>
      <c r="L7">
        <f>SUM(L2:L6)</f>
        <v>36.5</v>
      </c>
    </row>
    <row r="8" spans="1:13" x14ac:dyDescent="0.3">
      <c r="A8" t="s">
        <v>28</v>
      </c>
      <c r="B8" s="9"/>
      <c r="C8" s="18"/>
      <c r="J8" t="s">
        <v>36</v>
      </c>
      <c r="K8">
        <f>K7*100*200/1000</f>
        <v>1400</v>
      </c>
    </row>
    <row r="9" spans="1:13" x14ac:dyDescent="0.3">
      <c r="A9" t="s">
        <v>35</v>
      </c>
      <c r="B9" s="9"/>
      <c r="C9" s="18"/>
    </row>
    <row r="10" spans="1:13" x14ac:dyDescent="0.3">
      <c r="A10" t="s">
        <v>37</v>
      </c>
      <c r="B10" s="9"/>
      <c r="C10" s="18"/>
    </row>
    <row r="11" spans="1:13" x14ac:dyDescent="0.3">
      <c r="A11" t="s">
        <v>38</v>
      </c>
      <c r="B11" s="9"/>
      <c r="C11" s="18"/>
    </row>
    <row r="12" spans="1:13" x14ac:dyDescent="0.3">
      <c r="A12" t="s">
        <v>39</v>
      </c>
      <c r="B12" s="9"/>
      <c r="C12" s="18"/>
    </row>
    <row r="13" spans="1:13" x14ac:dyDescent="0.3">
      <c r="A13" s="16" t="s">
        <v>17</v>
      </c>
      <c r="C13" s="18" t="s">
        <v>41</v>
      </c>
    </row>
    <row r="14" spans="1:13" x14ac:dyDescent="0.3">
      <c r="A14" s="17" t="s">
        <v>25</v>
      </c>
      <c r="C14" s="18" t="s">
        <v>42</v>
      </c>
    </row>
    <row r="15" spans="1:13" x14ac:dyDescent="0.3">
      <c r="C15" s="18"/>
    </row>
    <row r="16" spans="1:13" x14ac:dyDescent="0.3">
      <c r="A16" s="4" t="s">
        <v>18</v>
      </c>
      <c r="B16" s="9">
        <v>0.44791666666666669</v>
      </c>
      <c r="C16" s="18"/>
      <c r="D16" s="4" t="s">
        <v>43</v>
      </c>
    </row>
    <row r="17" spans="1:5" x14ac:dyDescent="0.3">
      <c r="A17" t="s">
        <v>24</v>
      </c>
      <c r="C17" s="18"/>
    </row>
    <row r="18" spans="1:5" x14ac:dyDescent="0.3">
      <c r="A18" t="s">
        <v>45</v>
      </c>
      <c r="C18" s="18" t="s">
        <v>46</v>
      </c>
    </row>
    <row r="19" spans="1:5" s="19" customFormat="1" ht="57.6" x14ac:dyDescent="0.3">
      <c r="A19" s="19" t="s">
        <v>44</v>
      </c>
      <c r="C19" s="22"/>
      <c r="D19" s="23" t="s">
        <v>62</v>
      </c>
    </row>
    <row r="20" spans="1:5" x14ac:dyDescent="0.3">
      <c r="A20" t="s">
        <v>27</v>
      </c>
      <c r="B20" s="4" t="s">
        <v>47</v>
      </c>
      <c r="C20" s="18" t="s">
        <v>48</v>
      </c>
    </row>
    <row r="21" spans="1:5" x14ac:dyDescent="0.3">
      <c r="C21" s="18"/>
    </row>
    <row r="22" spans="1:5" x14ac:dyDescent="0.3">
      <c r="A22" s="4" t="s">
        <v>26</v>
      </c>
      <c r="B22" s="9">
        <v>0.44791666666666669</v>
      </c>
      <c r="C22" s="18"/>
      <c r="D22" s="4" t="s">
        <v>43</v>
      </c>
      <c r="E22" s="4" t="s">
        <v>50</v>
      </c>
    </row>
    <row r="23" spans="1:5" ht="28.8" x14ac:dyDescent="0.3">
      <c r="A23" s="19" t="s">
        <v>69</v>
      </c>
      <c r="B23" s="9"/>
      <c r="C23" s="18"/>
      <c r="D23" s="23" t="s">
        <v>66</v>
      </c>
    </row>
    <row r="24" spans="1:5" s="19" customFormat="1" x14ac:dyDescent="0.3">
      <c r="A24" t="s">
        <v>71</v>
      </c>
      <c r="B24" s="9">
        <v>0.44791666666666669</v>
      </c>
      <c r="C24" s="22" t="s">
        <v>49</v>
      </c>
    </row>
    <row r="25" spans="1:5" s="19" customFormat="1" ht="43.2" x14ac:dyDescent="0.3">
      <c r="A25" t="s">
        <v>72</v>
      </c>
      <c r="B25" s="9"/>
      <c r="C25" s="22"/>
      <c r="D25"/>
      <c r="E25" s="24" t="s">
        <v>70</v>
      </c>
    </row>
    <row r="26" spans="1:5" x14ac:dyDescent="0.3">
      <c r="A26" t="s">
        <v>29</v>
      </c>
      <c r="B26" s="9">
        <v>0.53125</v>
      </c>
      <c r="C26" s="18"/>
    </row>
    <row r="27" spans="1:5" x14ac:dyDescent="0.3">
      <c r="A27" t="s">
        <v>68</v>
      </c>
      <c r="B27" s="9" t="s">
        <v>73</v>
      </c>
      <c r="C27" s="18"/>
    </row>
    <row r="28" spans="1:5" x14ac:dyDescent="0.3">
      <c r="A28" t="s">
        <v>31</v>
      </c>
      <c r="C28" s="18"/>
    </row>
    <row r="29" spans="1:5" x14ac:dyDescent="0.3">
      <c r="C29" s="18"/>
    </row>
    <row r="30" spans="1:5" x14ac:dyDescent="0.3">
      <c r="A30" s="4" t="s">
        <v>30</v>
      </c>
      <c r="C30" s="18"/>
    </row>
    <row r="31" spans="1:5" x14ac:dyDescent="0.3">
      <c r="A31" t="s">
        <v>32</v>
      </c>
      <c r="B31" s="9">
        <v>0.41666666666666669</v>
      </c>
      <c r="C31" s="18"/>
    </row>
    <row r="32" spans="1:5" x14ac:dyDescent="0.3">
      <c r="A32" t="s">
        <v>33</v>
      </c>
      <c r="B32" s="4" t="s">
        <v>51</v>
      </c>
      <c r="C32" s="18"/>
    </row>
    <row r="33" spans="1:4" x14ac:dyDescent="0.3">
      <c r="C33" s="18"/>
    </row>
    <row r="34" spans="1:4" x14ac:dyDescent="0.3">
      <c r="A34" s="4" t="s">
        <v>34</v>
      </c>
      <c r="C34" s="18"/>
    </row>
    <row r="35" spans="1:4" x14ac:dyDescent="0.3">
      <c r="A35" t="s">
        <v>32</v>
      </c>
      <c r="B35" s="9">
        <v>0.41666666666666669</v>
      </c>
      <c r="C35" s="18"/>
    </row>
    <row r="36" spans="1:4" x14ac:dyDescent="0.3">
      <c r="A36" t="s">
        <v>33</v>
      </c>
      <c r="B36" s="4" t="s">
        <v>51</v>
      </c>
      <c r="C36" s="18"/>
    </row>
    <row r="38" spans="1:4" x14ac:dyDescent="0.3">
      <c r="A38" t="s">
        <v>67</v>
      </c>
    </row>
    <row r="39" spans="1:4" x14ac:dyDescent="0.3">
      <c r="A39" s="19" t="s">
        <v>52</v>
      </c>
      <c r="B39" t="s">
        <v>9</v>
      </c>
      <c r="C39" s="20" t="s">
        <v>53</v>
      </c>
      <c r="D39" s="20" t="s">
        <v>54</v>
      </c>
    </row>
    <row r="40" spans="1:4" s="19" customFormat="1" ht="43.2" x14ac:dyDescent="0.3">
      <c r="A40" s="19" t="s">
        <v>55</v>
      </c>
      <c r="B40" s="48" t="s">
        <v>106</v>
      </c>
      <c r="C40" s="19" t="s">
        <v>56</v>
      </c>
      <c r="D40" s="19" t="s">
        <v>107</v>
      </c>
    </row>
    <row r="41" spans="1:4" x14ac:dyDescent="0.3">
      <c r="A41" s="19" t="s">
        <v>57</v>
      </c>
      <c r="B41" s="21" t="s">
        <v>58</v>
      </c>
      <c r="C41">
        <v>200</v>
      </c>
      <c r="D41">
        <v>40</v>
      </c>
    </row>
    <row r="42" spans="1:4" x14ac:dyDescent="0.3">
      <c r="A42" t="s">
        <v>59</v>
      </c>
      <c r="B42" t="s">
        <v>60</v>
      </c>
      <c r="C42">
        <v>200</v>
      </c>
      <c r="D42" t="s">
        <v>61</v>
      </c>
    </row>
    <row r="44" spans="1:4" s="26" customFormat="1" x14ac:dyDescent="0.3">
      <c r="A44" s="25" t="s">
        <v>74</v>
      </c>
    </row>
  </sheetData>
  <phoneticPr fontId="2" type="noConversion"/>
  <pageMargins left="0.7" right="0.7" top="0.75" bottom="0.75" header="0.3" footer="0.3"/>
  <pageSetup paperSize="9"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A463-C127-4758-954F-2F34D02F65C1}">
  <sheetPr>
    <pageSetUpPr fitToPage="1"/>
  </sheetPr>
  <dimension ref="A1:M167"/>
  <sheetViews>
    <sheetView topLeftCell="A41" workbookViewId="0">
      <selection sqref="A1:M59"/>
    </sheetView>
  </sheetViews>
  <sheetFormatPr defaultRowHeight="14.4" x14ac:dyDescent="0.3"/>
  <cols>
    <col min="1" max="1" width="32.21875" customWidth="1"/>
    <col min="2" max="2" width="7.33203125" customWidth="1"/>
    <col min="3" max="3" width="7.33203125" style="29" customWidth="1"/>
    <col min="4" max="4" width="7.33203125" style="17" customWidth="1"/>
    <col min="5" max="5" width="7.33203125" customWidth="1"/>
    <col min="6" max="6" width="7.33203125" style="32" customWidth="1"/>
    <col min="7" max="7" width="7.33203125" style="34" customWidth="1"/>
    <col min="8" max="8" width="7.33203125" customWidth="1"/>
    <col min="9" max="9" width="7.33203125" style="29" customWidth="1"/>
    <col min="10" max="10" width="7.33203125" style="17" customWidth="1"/>
    <col min="11" max="11" width="7.33203125" customWidth="1"/>
    <col min="12" max="12" width="7.33203125" style="32" customWidth="1"/>
    <col min="13" max="13" width="7.33203125" style="34" customWidth="1"/>
  </cols>
  <sheetData>
    <row r="1" spans="1:13" s="40" customFormat="1" x14ac:dyDescent="0.3">
      <c r="A1" s="35" t="s">
        <v>75</v>
      </c>
      <c r="B1" s="35">
        <v>1</v>
      </c>
      <c r="C1" s="36">
        <v>2</v>
      </c>
      <c r="D1" s="37">
        <v>3</v>
      </c>
      <c r="E1" s="35">
        <v>4</v>
      </c>
      <c r="F1" s="38">
        <v>5</v>
      </c>
      <c r="G1" s="39">
        <v>6</v>
      </c>
      <c r="H1" s="35">
        <v>7</v>
      </c>
      <c r="I1" s="36">
        <v>8</v>
      </c>
      <c r="J1" s="37">
        <v>9</v>
      </c>
      <c r="K1" s="35">
        <v>10</v>
      </c>
      <c r="L1" s="38">
        <v>11</v>
      </c>
      <c r="M1" s="39">
        <v>12</v>
      </c>
    </row>
    <row r="2" spans="1:13" x14ac:dyDescent="0.3">
      <c r="A2" s="27"/>
      <c r="B2" s="27"/>
      <c r="C2" s="28"/>
      <c r="D2" s="30"/>
      <c r="E2" s="27"/>
      <c r="F2" s="31"/>
      <c r="G2" s="33"/>
      <c r="H2" s="27"/>
      <c r="I2" s="28"/>
      <c r="J2" s="30"/>
      <c r="K2" s="27"/>
      <c r="L2" s="31"/>
      <c r="M2" s="33"/>
    </row>
    <row r="3" spans="1:13" x14ac:dyDescent="0.3">
      <c r="A3" s="27"/>
      <c r="B3" s="27"/>
      <c r="C3" s="28"/>
      <c r="D3" s="30"/>
      <c r="E3" s="27"/>
      <c r="F3" s="31"/>
      <c r="G3" s="33"/>
      <c r="H3" s="27"/>
      <c r="I3" s="28"/>
      <c r="J3" s="30"/>
      <c r="K3" s="27"/>
      <c r="L3" s="31"/>
      <c r="M3" s="33"/>
    </row>
    <row r="4" spans="1:13" x14ac:dyDescent="0.3">
      <c r="A4" s="27"/>
      <c r="B4" s="27"/>
      <c r="C4" s="28"/>
      <c r="D4" s="30"/>
      <c r="E4" s="27"/>
      <c r="F4" s="31"/>
      <c r="G4" s="33"/>
      <c r="H4" s="27"/>
      <c r="I4" s="28"/>
      <c r="J4" s="30"/>
      <c r="K4" s="27"/>
      <c r="L4" s="31"/>
      <c r="M4" s="33"/>
    </row>
    <row r="5" spans="1:13" x14ac:dyDescent="0.3">
      <c r="A5" s="27"/>
      <c r="B5" s="27"/>
      <c r="C5" s="28"/>
      <c r="D5" s="30"/>
      <c r="E5" s="27"/>
      <c r="F5" s="31"/>
      <c r="G5" s="33"/>
      <c r="H5" s="27"/>
      <c r="I5" s="28"/>
      <c r="J5" s="30"/>
      <c r="K5" s="27"/>
      <c r="L5" s="31"/>
      <c r="M5" s="33"/>
    </row>
    <row r="6" spans="1:13" x14ac:dyDescent="0.3">
      <c r="A6" s="27"/>
      <c r="B6" s="27"/>
      <c r="C6" s="28"/>
      <c r="D6" s="30"/>
      <c r="E6" s="27"/>
      <c r="F6" s="31"/>
      <c r="G6" s="33"/>
      <c r="H6" s="27"/>
      <c r="I6" s="28"/>
      <c r="J6" s="30"/>
      <c r="K6" s="27"/>
      <c r="L6" s="31"/>
      <c r="M6" s="33"/>
    </row>
    <row r="7" spans="1:13" x14ac:dyDescent="0.3">
      <c r="A7" s="27"/>
      <c r="B7" s="27"/>
      <c r="C7" s="28"/>
      <c r="D7" s="30"/>
      <c r="E7" s="27"/>
      <c r="F7" s="31"/>
      <c r="G7" s="33"/>
      <c r="H7" s="27"/>
      <c r="I7" s="28"/>
      <c r="J7" s="30"/>
      <c r="K7" s="27"/>
      <c r="L7" s="31"/>
      <c r="M7" s="33"/>
    </row>
    <row r="8" spans="1:13" x14ac:dyDescent="0.3">
      <c r="A8" s="27"/>
      <c r="B8" s="27"/>
      <c r="C8" s="28"/>
      <c r="D8" s="30"/>
      <c r="E8" s="27"/>
      <c r="F8" s="31"/>
      <c r="G8" s="33"/>
      <c r="H8" s="27"/>
      <c r="I8" s="28"/>
      <c r="J8" s="30"/>
      <c r="K8" s="27"/>
      <c r="L8" s="31"/>
      <c r="M8" s="33"/>
    </row>
    <row r="9" spans="1:13" x14ac:dyDescent="0.3">
      <c r="A9" s="27"/>
      <c r="B9" s="27"/>
      <c r="C9" s="28"/>
      <c r="D9" s="30"/>
      <c r="E9" s="27"/>
      <c r="F9" s="31"/>
      <c r="G9" s="33"/>
      <c r="H9" s="27"/>
      <c r="I9" s="28"/>
      <c r="J9" s="30"/>
      <c r="K9" s="27"/>
      <c r="L9" s="31"/>
      <c r="M9" s="33"/>
    </row>
    <row r="10" spans="1:13" x14ac:dyDescent="0.3">
      <c r="A10" s="27"/>
      <c r="B10" s="27"/>
      <c r="C10" s="28"/>
      <c r="D10" s="30"/>
      <c r="E10" s="27"/>
      <c r="F10" s="31"/>
      <c r="G10" s="33"/>
      <c r="H10" s="27"/>
      <c r="I10" s="28"/>
      <c r="J10" s="30"/>
      <c r="K10" s="27"/>
      <c r="L10" s="31"/>
      <c r="M10" s="33"/>
    </row>
    <row r="11" spans="1:13" x14ac:dyDescent="0.3">
      <c r="A11" s="27"/>
      <c r="B11" s="27"/>
      <c r="C11" s="28"/>
      <c r="D11" s="30"/>
      <c r="E11" s="27"/>
      <c r="F11" s="31"/>
      <c r="G11" s="33"/>
      <c r="H11" s="27"/>
      <c r="I11" s="28"/>
      <c r="J11" s="30"/>
      <c r="K11" s="27"/>
      <c r="L11" s="31"/>
      <c r="M11" s="33"/>
    </row>
    <row r="12" spans="1:13" x14ac:dyDescent="0.3">
      <c r="A12" s="27"/>
      <c r="B12" s="27"/>
      <c r="C12" s="28"/>
      <c r="D12" s="30"/>
      <c r="E12" s="27"/>
      <c r="F12" s="31"/>
      <c r="G12" s="33"/>
      <c r="H12" s="27"/>
      <c r="I12" s="28"/>
      <c r="J12" s="30"/>
      <c r="K12" s="27"/>
      <c r="L12" s="31"/>
      <c r="M12" s="33"/>
    </row>
    <row r="13" spans="1:13" x14ac:dyDescent="0.3">
      <c r="A13" s="27"/>
      <c r="B13" s="27"/>
      <c r="C13" s="28"/>
      <c r="D13" s="30"/>
      <c r="E13" s="27"/>
      <c r="F13" s="31"/>
      <c r="G13" s="33"/>
      <c r="H13" s="27"/>
      <c r="I13" s="28"/>
      <c r="J13" s="30"/>
      <c r="K13" s="27"/>
      <c r="L13" s="31"/>
      <c r="M13" s="33"/>
    </row>
    <row r="14" spans="1:13" x14ac:dyDescent="0.3">
      <c r="A14" s="27"/>
      <c r="B14" s="27"/>
      <c r="C14" s="28"/>
      <c r="D14" s="30"/>
      <c r="E14" s="27"/>
      <c r="F14" s="31"/>
      <c r="G14" s="33"/>
      <c r="H14" s="27"/>
      <c r="I14" s="28"/>
      <c r="J14" s="30"/>
      <c r="K14" s="27"/>
      <c r="L14" s="31"/>
      <c r="M14" s="33"/>
    </row>
    <row r="15" spans="1:13" x14ac:dyDescent="0.3">
      <c r="A15" s="27"/>
      <c r="B15" s="27"/>
      <c r="C15" s="28"/>
      <c r="D15" s="30"/>
      <c r="E15" s="27"/>
      <c r="F15" s="31"/>
      <c r="G15" s="33"/>
      <c r="H15" s="27"/>
      <c r="I15" s="28"/>
      <c r="J15" s="30"/>
      <c r="K15" s="27"/>
      <c r="L15" s="31"/>
      <c r="M15" s="33"/>
    </row>
    <row r="16" spans="1:13" x14ac:dyDescent="0.3">
      <c r="A16" s="27"/>
      <c r="B16" s="27"/>
      <c r="C16" s="28"/>
      <c r="D16" s="30"/>
      <c r="E16" s="27"/>
      <c r="F16" s="31"/>
      <c r="G16" s="33"/>
      <c r="H16" s="27"/>
      <c r="I16" s="28"/>
      <c r="J16" s="30"/>
      <c r="K16" s="27"/>
      <c r="L16" s="31"/>
      <c r="M16" s="33"/>
    </row>
    <row r="17" spans="1:13" x14ac:dyDescent="0.3">
      <c r="A17" s="27"/>
      <c r="B17" s="27"/>
      <c r="C17" s="28"/>
      <c r="D17" s="30"/>
      <c r="E17" s="27"/>
      <c r="F17" s="31"/>
      <c r="G17" s="33"/>
      <c r="H17" s="27"/>
      <c r="I17" s="28"/>
      <c r="J17" s="30"/>
      <c r="K17" s="27"/>
      <c r="L17" s="31"/>
      <c r="M17" s="33"/>
    </row>
    <row r="18" spans="1:13" x14ac:dyDescent="0.3">
      <c r="A18" s="27"/>
      <c r="B18" s="27"/>
      <c r="C18" s="28"/>
      <c r="D18" s="30"/>
      <c r="E18" s="27"/>
      <c r="F18" s="31"/>
      <c r="G18" s="33"/>
      <c r="H18" s="27"/>
      <c r="I18" s="28"/>
      <c r="J18" s="30"/>
      <c r="K18" s="27"/>
      <c r="L18" s="31"/>
      <c r="M18" s="33"/>
    </row>
    <row r="19" spans="1:13" x14ac:dyDescent="0.3">
      <c r="A19" s="27"/>
      <c r="B19" s="27"/>
      <c r="C19" s="28"/>
      <c r="D19" s="30"/>
      <c r="E19" s="27"/>
      <c r="F19" s="31"/>
      <c r="G19" s="33"/>
      <c r="H19" s="27"/>
      <c r="I19" s="28"/>
      <c r="J19" s="30"/>
      <c r="K19" s="27"/>
      <c r="L19" s="31"/>
      <c r="M19" s="33"/>
    </row>
    <row r="20" spans="1:13" x14ac:dyDescent="0.3">
      <c r="A20" s="27"/>
      <c r="B20" s="27"/>
      <c r="C20" s="28"/>
      <c r="D20" s="30"/>
      <c r="E20" s="27"/>
      <c r="F20" s="31"/>
      <c r="G20" s="33"/>
      <c r="H20" s="27"/>
      <c r="I20" s="28"/>
      <c r="J20" s="30"/>
      <c r="K20" s="27"/>
      <c r="L20" s="31"/>
      <c r="M20" s="33"/>
    </row>
    <row r="21" spans="1:13" x14ac:dyDescent="0.3">
      <c r="A21" s="27"/>
      <c r="B21" s="27"/>
      <c r="C21" s="28"/>
      <c r="D21" s="30"/>
      <c r="E21" s="27"/>
      <c r="F21" s="31"/>
      <c r="G21" s="33"/>
      <c r="H21" s="27"/>
      <c r="I21" s="28"/>
      <c r="J21" s="30"/>
      <c r="K21" s="27"/>
      <c r="L21" s="31"/>
      <c r="M21" s="33"/>
    </row>
    <row r="22" spans="1:13" x14ac:dyDescent="0.3">
      <c r="A22" s="27"/>
      <c r="B22" s="27"/>
      <c r="C22" s="28"/>
      <c r="D22" s="30"/>
      <c r="E22" s="27"/>
      <c r="F22" s="31"/>
      <c r="G22" s="33"/>
      <c r="H22" s="27"/>
      <c r="I22" s="28"/>
      <c r="J22" s="30"/>
      <c r="K22" s="27"/>
      <c r="L22" s="31"/>
      <c r="M22" s="33"/>
    </row>
    <row r="23" spans="1:13" x14ac:dyDescent="0.3">
      <c r="A23" s="27"/>
      <c r="B23" s="27"/>
      <c r="C23" s="28"/>
      <c r="D23" s="30"/>
      <c r="E23" s="27"/>
      <c r="F23" s="31"/>
      <c r="G23" s="33"/>
      <c r="H23" s="27"/>
      <c r="I23" s="28"/>
      <c r="J23" s="30"/>
      <c r="K23" s="27"/>
      <c r="L23" s="31"/>
      <c r="M23" s="33"/>
    </row>
    <row r="24" spans="1:13" x14ac:dyDescent="0.3">
      <c r="A24" s="27"/>
      <c r="B24" s="27"/>
      <c r="C24" s="28"/>
      <c r="D24" s="30"/>
      <c r="E24" s="27"/>
      <c r="F24" s="31"/>
      <c r="G24" s="33"/>
      <c r="H24" s="27"/>
      <c r="I24" s="28"/>
      <c r="J24" s="30"/>
      <c r="K24" s="27"/>
      <c r="L24" s="31"/>
      <c r="M24" s="33"/>
    </row>
    <row r="25" spans="1:13" x14ac:dyDescent="0.3">
      <c r="A25" s="27"/>
      <c r="B25" s="27"/>
      <c r="C25" s="28"/>
      <c r="D25" s="30"/>
      <c r="E25" s="27"/>
      <c r="F25" s="31"/>
      <c r="G25" s="33"/>
      <c r="H25" s="27"/>
      <c r="I25" s="28"/>
      <c r="J25" s="30"/>
      <c r="K25" s="27"/>
      <c r="L25" s="31"/>
      <c r="M25" s="33"/>
    </row>
    <row r="26" spans="1:13" x14ac:dyDescent="0.3">
      <c r="A26" s="27"/>
      <c r="B26" s="27"/>
      <c r="C26" s="28"/>
      <c r="D26" s="30"/>
      <c r="E26" s="27"/>
      <c r="F26" s="31"/>
      <c r="G26" s="33"/>
      <c r="H26" s="27"/>
      <c r="I26" s="28"/>
      <c r="J26" s="30"/>
      <c r="K26" s="27"/>
      <c r="L26" s="31"/>
      <c r="M26" s="33"/>
    </row>
    <row r="27" spans="1:13" x14ac:dyDescent="0.3">
      <c r="A27" s="27"/>
      <c r="B27" s="27"/>
      <c r="C27" s="28"/>
      <c r="D27" s="30"/>
      <c r="E27" s="27"/>
      <c r="F27" s="31"/>
      <c r="G27" s="33"/>
      <c r="H27" s="27"/>
      <c r="I27" s="28"/>
      <c r="J27" s="30"/>
      <c r="K27" s="27"/>
      <c r="L27" s="31"/>
      <c r="M27" s="33"/>
    </row>
    <row r="28" spans="1:13" x14ac:dyDescent="0.3">
      <c r="A28" s="27"/>
      <c r="B28" s="27"/>
      <c r="C28" s="28"/>
      <c r="D28" s="30"/>
      <c r="E28" s="27"/>
      <c r="F28" s="31"/>
      <c r="G28" s="33"/>
      <c r="H28" s="27"/>
      <c r="I28" s="28"/>
      <c r="J28" s="30"/>
      <c r="K28" s="27"/>
      <c r="L28" s="31"/>
      <c r="M28" s="33"/>
    </row>
    <row r="29" spans="1:13" x14ac:dyDescent="0.3">
      <c r="A29" s="27"/>
      <c r="B29" s="27"/>
      <c r="C29" s="28"/>
      <c r="D29" s="30"/>
      <c r="E29" s="27"/>
      <c r="F29" s="31"/>
      <c r="G29" s="33"/>
      <c r="H29" s="27"/>
      <c r="I29" s="28"/>
      <c r="J29" s="30"/>
      <c r="K29" s="27"/>
      <c r="L29" s="31"/>
      <c r="M29" s="33"/>
    </row>
    <row r="30" spans="1:13" x14ac:dyDescent="0.3">
      <c r="A30" s="27"/>
      <c r="B30" s="27"/>
      <c r="C30" s="28"/>
      <c r="D30" s="30"/>
      <c r="E30" s="27"/>
      <c r="F30" s="31"/>
      <c r="G30" s="33"/>
      <c r="H30" s="27"/>
      <c r="I30" s="28"/>
      <c r="J30" s="30"/>
      <c r="K30" s="27"/>
      <c r="L30" s="31"/>
      <c r="M30" s="33"/>
    </row>
    <row r="31" spans="1:13" x14ac:dyDescent="0.3">
      <c r="A31" s="27"/>
      <c r="B31" s="27"/>
      <c r="C31" s="28"/>
      <c r="D31" s="30"/>
      <c r="E31" s="27"/>
      <c r="F31" s="31"/>
      <c r="G31" s="33"/>
      <c r="H31" s="27"/>
      <c r="I31" s="28"/>
      <c r="J31" s="30"/>
      <c r="K31" s="27"/>
      <c r="L31" s="31"/>
      <c r="M31" s="33"/>
    </row>
    <row r="32" spans="1:13" x14ac:dyDescent="0.3">
      <c r="A32" s="27"/>
      <c r="B32" s="27"/>
      <c r="C32" s="28"/>
      <c r="D32" s="30"/>
      <c r="E32" s="27"/>
      <c r="F32" s="31"/>
      <c r="G32" s="33"/>
      <c r="H32" s="27"/>
      <c r="I32" s="28"/>
      <c r="J32" s="30"/>
      <c r="K32" s="27"/>
      <c r="L32" s="31"/>
      <c r="M32" s="33"/>
    </row>
    <row r="33" spans="1:13" x14ac:dyDescent="0.3">
      <c r="A33" s="27"/>
      <c r="B33" s="27"/>
      <c r="C33" s="28"/>
      <c r="D33" s="30"/>
      <c r="E33" s="27"/>
      <c r="F33" s="31"/>
      <c r="G33" s="33"/>
      <c r="H33" s="27"/>
      <c r="I33" s="28"/>
      <c r="J33" s="30"/>
      <c r="K33" s="27"/>
      <c r="L33" s="31"/>
      <c r="M33" s="33"/>
    </row>
    <row r="34" spans="1:13" x14ac:dyDescent="0.3">
      <c r="A34" s="27"/>
      <c r="B34" s="27"/>
      <c r="C34" s="28"/>
      <c r="D34" s="30"/>
      <c r="E34" s="27"/>
      <c r="F34" s="31"/>
      <c r="G34" s="33"/>
      <c r="H34" s="27"/>
      <c r="I34" s="28"/>
      <c r="J34" s="30"/>
      <c r="K34" s="27"/>
      <c r="L34" s="31"/>
      <c r="M34" s="33"/>
    </row>
    <row r="35" spans="1:13" x14ac:dyDescent="0.3">
      <c r="A35" s="27"/>
      <c r="B35" s="27"/>
      <c r="C35" s="28"/>
      <c r="D35" s="30"/>
      <c r="E35" s="27"/>
      <c r="F35" s="31"/>
      <c r="G35" s="33"/>
      <c r="H35" s="27"/>
      <c r="I35" s="28"/>
      <c r="J35" s="30"/>
      <c r="K35" s="27"/>
      <c r="L35" s="31"/>
      <c r="M35" s="33"/>
    </row>
    <row r="36" spans="1:13" x14ac:dyDescent="0.3">
      <c r="A36" s="27"/>
      <c r="B36" s="27"/>
      <c r="C36" s="28"/>
      <c r="D36" s="30"/>
      <c r="E36" s="27"/>
      <c r="F36" s="31"/>
      <c r="G36" s="33"/>
      <c r="H36" s="27"/>
      <c r="I36" s="28"/>
      <c r="J36" s="30"/>
      <c r="K36" s="27"/>
      <c r="L36" s="31"/>
      <c r="M36" s="33"/>
    </row>
    <row r="37" spans="1:13" x14ac:dyDescent="0.3">
      <c r="A37" s="27"/>
      <c r="B37" s="27"/>
      <c r="C37" s="28"/>
      <c r="D37" s="30"/>
      <c r="E37" s="27"/>
      <c r="F37" s="31"/>
      <c r="G37" s="33"/>
      <c r="H37" s="27"/>
      <c r="I37" s="28"/>
      <c r="J37" s="30"/>
      <c r="K37" s="27"/>
      <c r="L37" s="31"/>
      <c r="M37" s="33"/>
    </row>
    <row r="38" spans="1:13" x14ac:dyDescent="0.3">
      <c r="A38" s="27"/>
      <c r="B38" s="27"/>
      <c r="C38" s="28"/>
      <c r="D38" s="30"/>
      <c r="E38" s="27"/>
      <c r="F38" s="31"/>
      <c r="G38" s="33"/>
      <c r="H38" s="27"/>
      <c r="I38" s="28"/>
      <c r="J38" s="30"/>
      <c r="K38" s="27"/>
      <c r="L38" s="31"/>
      <c r="M38" s="33"/>
    </row>
    <row r="39" spans="1:13" x14ac:dyDescent="0.3">
      <c r="A39" s="27"/>
      <c r="B39" s="27"/>
      <c r="C39" s="28"/>
      <c r="D39" s="30"/>
      <c r="E39" s="27"/>
      <c r="F39" s="31"/>
      <c r="G39" s="33"/>
      <c r="H39" s="27"/>
      <c r="I39" s="28"/>
      <c r="J39" s="30"/>
      <c r="K39" s="27"/>
      <c r="L39" s="31"/>
      <c r="M39" s="33"/>
    </row>
    <row r="40" spans="1:13" x14ac:dyDescent="0.3">
      <c r="A40" s="27"/>
      <c r="B40" s="27"/>
      <c r="C40" s="28"/>
      <c r="D40" s="30"/>
      <c r="E40" s="27"/>
      <c r="F40" s="31"/>
      <c r="G40" s="33"/>
      <c r="H40" s="27"/>
      <c r="I40" s="28"/>
      <c r="J40" s="30"/>
      <c r="K40" s="27"/>
      <c r="L40" s="31"/>
      <c r="M40" s="33"/>
    </row>
    <row r="41" spans="1:13" x14ac:dyDescent="0.3">
      <c r="A41" s="27"/>
      <c r="B41" s="27"/>
      <c r="C41" s="28"/>
      <c r="D41" s="30"/>
      <c r="E41" s="27"/>
      <c r="F41" s="31"/>
      <c r="G41" s="33"/>
      <c r="H41" s="27"/>
      <c r="I41" s="28"/>
      <c r="J41" s="30"/>
      <c r="K41" s="27"/>
      <c r="L41" s="31"/>
      <c r="M41" s="33"/>
    </row>
    <row r="42" spans="1:13" x14ac:dyDescent="0.3">
      <c r="A42" s="27"/>
      <c r="B42" s="27"/>
      <c r="C42" s="28"/>
      <c r="D42" s="30"/>
      <c r="E42" s="27"/>
      <c r="F42" s="31"/>
      <c r="G42" s="33"/>
      <c r="H42" s="27"/>
      <c r="I42" s="28"/>
      <c r="J42" s="30"/>
      <c r="K42" s="27"/>
      <c r="L42" s="31"/>
      <c r="M42" s="33"/>
    </row>
    <row r="43" spans="1:13" x14ac:dyDescent="0.3">
      <c r="A43" s="27"/>
      <c r="B43" s="27"/>
      <c r="C43" s="28"/>
      <c r="D43" s="30"/>
      <c r="E43" s="27"/>
      <c r="F43" s="31"/>
      <c r="G43" s="33"/>
      <c r="H43" s="27"/>
      <c r="I43" s="28"/>
      <c r="J43" s="30"/>
      <c r="K43" s="27"/>
      <c r="L43" s="31"/>
      <c r="M43" s="33"/>
    </row>
    <row r="44" spans="1:13" x14ac:dyDescent="0.3">
      <c r="A44" s="27"/>
      <c r="B44" s="27"/>
      <c r="C44" s="28"/>
      <c r="D44" s="30"/>
      <c r="E44" s="27"/>
      <c r="F44" s="31"/>
      <c r="G44" s="33"/>
      <c r="H44" s="27"/>
      <c r="I44" s="28"/>
      <c r="J44" s="30"/>
      <c r="K44" s="27"/>
      <c r="L44" s="31"/>
      <c r="M44" s="33"/>
    </row>
    <row r="45" spans="1:13" x14ac:dyDescent="0.3">
      <c r="A45" s="27"/>
      <c r="B45" s="27"/>
      <c r="C45" s="28"/>
      <c r="D45" s="30"/>
      <c r="E45" s="27"/>
      <c r="F45" s="31"/>
      <c r="G45" s="33"/>
      <c r="H45" s="27"/>
      <c r="I45" s="28"/>
      <c r="J45" s="30"/>
      <c r="K45" s="27"/>
      <c r="L45" s="31"/>
      <c r="M45" s="33"/>
    </row>
    <row r="46" spans="1:13" x14ac:dyDescent="0.3">
      <c r="A46" s="27"/>
      <c r="B46" s="27"/>
      <c r="C46" s="28"/>
      <c r="D46" s="30"/>
      <c r="E46" s="27"/>
      <c r="F46" s="31"/>
      <c r="G46" s="33"/>
      <c r="H46" s="27"/>
      <c r="I46" s="28"/>
      <c r="J46" s="30"/>
      <c r="K46" s="27"/>
      <c r="L46" s="31"/>
      <c r="M46" s="33"/>
    </row>
    <row r="47" spans="1:13" x14ac:dyDescent="0.3">
      <c r="A47" s="27"/>
      <c r="B47" s="27"/>
      <c r="C47" s="28"/>
      <c r="D47" s="30"/>
      <c r="E47" s="27"/>
      <c r="F47" s="31"/>
      <c r="G47" s="33"/>
      <c r="H47" s="27"/>
      <c r="I47" s="28"/>
      <c r="J47" s="30"/>
      <c r="K47" s="27"/>
      <c r="L47" s="31"/>
      <c r="M47" s="33"/>
    </row>
    <row r="48" spans="1:13" x14ac:dyDescent="0.3">
      <c r="A48" s="27"/>
      <c r="B48" s="27"/>
      <c r="C48" s="28"/>
      <c r="D48" s="30"/>
      <c r="E48" s="27"/>
      <c r="F48" s="31"/>
      <c r="G48" s="33"/>
      <c r="H48" s="27"/>
      <c r="I48" s="28"/>
      <c r="J48" s="30"/>
      <c r="K48" s="27"/>
      <c r="L48" s="31"/>
      <c r="M48" s="33"/>
    </row>
    <row r="49" spans="1:13" x14ac:dyDescent="0.3">
      <c r="A49" s="27"/>
      <c r="B49" s="27"/>
      <c r="C49" s="28"/>
      <c r="D49" s="30"/>
      <c r="E49" s="27"/>
      <c r="F49" s="31"/>
      <c r="G49" s="33"/>
      <c r="H49" s="27"/>
      <c r="I49" s="28"/>
      <c r="J49" s="30"/>
      <c r="K49" s="27"/>
      <c r="L49" s="31"/>
      <c r="M49" s="33"/>
    </row>
    <row r="50" spans="1:13" x14ac:dyDescent="0.3">
      <c r="A50" s="27"/>
      <c r="B50" s="27"/>
      <c r="C50" s="28"/>
      <c r="D50" s="30"/>
      <c r="E50" s="27"/>
      <c r="F50" s="31"/>
      <c r="G50" s="33"/>
      <c r="H50" s="27"/>
      <c r="I50" s="28"/>
      <c r="J50" s="30"/>
      <c r="K50" s="27"/>
      <c r="L50" s="31"/>
      <c r="M50" s="33"/>
    </row>
    <row r="51" spans="1:13" x14ac:dyDescent="0.3">
      <c r="A51" s="27"/>
      <c r="B51" s="27"/>
      <c r="C51" s="28"/>
      <c r="D51" s="30"/>
      <c r="E51" s="27"/>
      <c r="F51" s="31"/>
      <c r="G51" s="33"/>
      <c r="H51" s="27"/>
      <c r="I51" s="28"/>
      <c r="J51" s="30"/>
      <c r="K51" s="27"/>
      <c r="L51" s="31"/>
      <c r="M51" s="33"/>
    </row>
    <row r="52" spans="1:13" x14ac:dyDescent="0.3">
      <c r="A52" s="27"/>
      <c r="B52" s="27"/>
      <c r="C52" s="28"/>
      <c r="D52" s="30"/>
      <c r="E52" s="27"/>
      <c r="F52" s="31"/>
      <c r="G52" s="33"/>
      <c r="H52" s="27"/>
      <c r="I52" s="28"/>
      <c r="J52" s="30"/>
      <c r="K52" s="27"/>
      <c r="L52" s="31"/>
      <c r="M52" s="33"/>
    </row>
    <row r="53" spans="1:13" x14ac:dyDescent="0.3">
      <c r="A53" s="27"/>
      <c r="B53" s="27"/>
      <c r="C53" s="28"/>
      <c r="D53" s="30"/>
      <c r="E53" s="27"/>
      <c r="F53" s="31"/>
      <c r="G53" s="33"/>
      <c r="H53" s="27"/>
      <c r="I53" s="28"/>
      <c r="J53" s="30"/>
      <c r="K53" s="27"/>
      <c r="L53" s="31"/>
      <c r="M53" s="33"/>
    </row>
    <row r="54" spans="1:13" x14ac:dyDescent="0.3">
      <c r="A54" s="27"/>
      <c r="B54" s="27"/>
      <c r="C54" s="28"/>
      <c r="D54" s="30"/>
      <c r="E54" s="27"/>
      <c r="F54" s="31"/>
      <c r="G54" s="33"/>
      <c r="H54" s="27"/>
      <c r="I54" s="28"/>
      <c r="J54" s="30"/>
      <c r="K54" s="27"/>
      <c r="L54" s="31"/>
      <c r="M54" s="33"/>
    </row>
    <row r="55" spans="1:13" x14ac:dyDescent="0.3">
      <c r="A55" s="27"/>
      <c r="B55" s="27"/>
      <c r="C55" s="28"/>
      <c r="D55" s="30"/>
      <c r="E55" s="27"/>
      <c r="F55" s="31"/>
      <c r="G55" s="33"/>
      <c r="H55" s="27"/>
      <c r="I55" s="28"/>
      <c r="J55" s="30"/>
      <c r="K55" s="27"/>
      <c r="L55" s="31"/>
      <c r="M55" s="33"/>
    </row>
    <row r="56" spans="1:13" x14ac:dyDescent="0.3">
      <c r="A56" s="27"/>
      <c r="B56" s="27"/>
      <c r="C56" s="28"/>
      <c r="D56" s="30"/>
      <c r="E56" s="27"/>
      <c r="F56" s="31"/>
      <c r="G56" s="33"/>
      <c r="H56" s="27"/>
      <c r="I56" s="28"/>
      <c r="J56" s="30"/>
      <c r="K56" s="27"/>
      <c r="L56" s="31"/>
      <c r="M56" s="33"/>
    </row>
    <row r="57" spans="1:13" x14ac:dyDescent="0.3">
      <c r="A57" s="27"/>
      <c r="B57" s="27"/>
      <c r="C57" s="28"/>
      <c r="D57" s="30"/>
      <c r="E57" s="27"/>
      <c r="F57" s="31"/>
      <c r="G57" s="33"/>
      <c r="H57" s="27"/>
      <c r="I57" s="28"/>
      <c r="J57" s="30"/>
      <c r="K57" s="27"/>
      <c r="L57" s="31"/>
      <c r="M57" s="33"/>
    </row>
    <row r="58" spans="1:13" x14ac:dyDescent="0.3">
      <c r="A58" s="27"/>
      <c r="B58" s="27"/>
      <c r="C58" s="28"/>
      <c r="D58" s="30"/>
      <c r="E58" s="27"/>
      <c r="F58" s="31"/>
      <c r="G58" s="33"/>
      <c r="H58" s="27"/>
      <c r="I58" s="28"/>
      <c r="J58" s="30"/>
      <c r="K58" s="27"/>
      <c r="L58" s="31"/>
      <c r="M58" s="33"/>
    </row>
    <row r="59" spans="1:13" x14ac:dyDescent="0.3">
      <c r="A59" s="27"/>
      <c r="B59" s="27"/>
      <c r="C59" s="28"/>
      <c r="D59" s="30"/>
      <c r="E59" s="27"/>
      <c r="F59" s="31"/>
      <c r="G59" s="33"/>
      <c r="H59" s="27"/>
      <c r="I59" s="28"/>
      <c r="J59" s="30"/>
      <c r="K59" s="27"/>
      <c r="L59" s="31"/>
      <c r="M59" s="33"/>
    </row>
    <row r="60" spans="1:13" x14ac:dyDescent="0.3">
      <c r="A60" s="27"/>
      <c r="B60" s="27"/>
      <c r="C60" s="28"/>
      <c r="D60" s="30"/>
      <c r="E60" s="27"/>
      <c r="F60" s="31"/>
      <c r="G60" s="33"/>
      <c r="H60" s="27"/>
      <c r="I60" s="28"/>
      <c r="J60" s="30"/>
      <c r="K60" s="27"/>
      <c r="L60" s="31"/>
      <c r="M60" s="33"/>
    </row>
    <row r="61" spans="1:13" x14ac:dyDescent="0.3">
      <c r="A61" s="27"/>
      <c r="B61" s="27"/>
      <c r="C61" s="28"/>
      <c r="D61" s="30"/>
      <c r="E61" s="27"/>
      <c r="F61" s="31"/>
      <c r="G61" s="33"/>
      <c r="H61" s="27"/>
      <c r="I61" s="28"/>
      <c r="J61" s="30"/>
      <c r="K61" s="27"/>
      <c r="L61" s="31"/>
      <c r="M61" s="33"/>
    </row>
    <row r="62" spans="1:13" x14ac:dyDescent="0.3">
      <c r="A62" s="27"/>
      <c r="B62" s="27"/>
      <c r="C62" s="28"/>
      <c r="D62" s="30"/>
      <c r="E62" s="27"/>
      <c r="F62" s="31"/>
      <c r="G62" s="33"/>
      <c r="H62" s="27"/>
      <c r="I62" s="28"/>
      <c r="J62" s="30"/>
      <c r="K62" s="27"/>
      <c r="L62" s="31"/>
      <c r="M62" s="33"/>
    </row>
    <row r="63" spans="1:13" x14ac:dyDescent="0.3">
      <c r="A63" s="27"/>
      <c r="B63" s="27"/>
      <c r="C63" s="28"/>
      <c r="D63" s="30"/>
      <c r="E63" s="27"/>
      <c r="F63" s="31"/>
      <c r="G63" s="33"/>
      <c r="H63" s="27"/>
      <c r="I63" s="28"/>
      <c r="J63" s="30"/>
      <c r="K63" s="27"/>
      <c r="L63" s="31"/>
      <c r="M63" s="33"/>
    </row>
    <row r="64" spans="1:13" x14ac:dyDescent="0.3">
      <c r="A64" s="27"/>
      <c r="B64" s="27"/>
      <c r="C64" s="28"/>
      <c r="D64" s="30"/>
      <c r="E64" s="27"/>
      <c r="F64" s="31"/>
      <c r="G64" s="33"/>
      <c r="H64" s="27"/>
      <c r="I64" s="28"/>
      <c r="J64" s="30"/>
      <c r="K64" s="27"/>
      <c r="L64" s="31"/>
      <c r="M64" s="33"/>
    </row>
    <row r="65" spans="1:13" x14ac:dyDescent="0.3">
      <c r="A65" s="27"/>
      <c r="B65" s="27"/>
      <c r="C65" s="28"/>
      <c r="D65" s="30"/>
      <c r="E65" s="27"/>
      <c r="F65" s="31"/>
      <c r="G65" s="33"/>
      <c r="H65" s="27"/>
      <c r="I65" s="28"/>
      <c r="J65" s="30"/>
      <c r="K65" s="27"/>
      <c r="L65" s="31"/>
      <c r="M65" s="33"/>
    </row>
    <row r="66" spans="1:13" x14ac:dyDescent="0.3">
      <c r="A66" s="27"/>
      <c r="B66" s="27"/>
      <c r="C66" s="28"/>
      <c r="D66" s="30"/>
      <c r="E66" s="27"/>
      <c r="F66" s="31"/>
      <c r="G66" s="33"/>
      <c r="H66" s="27"/>
      <c r="I66" s="28"/>
      <c r="J66" s="30"/>
      <c r="K66" s="27"/>
      <c r="L66" s="31"/>
      <c r="M66" s="33"/>
    </row>
    <row r="67" spans="1:13" x14ac:dyDescent="0.3">
      <c r="A67" s="27"/>
      <c r="B67" s="27"/>
      <c r="C67" s="28"/>
      <c r="D67" s="30"/>
      <c r="E67" s="27"/>
      <c r="F67" s="31"/>
      <c r="G67" s="33"/>
      <c r="H67" s="27"/>
      <c r="I67" s="28"/>
      <c r="J67" s="30"/>
      <c r="K67" s="27"/>
      <c r="L67" s="31"/>
      <c r="M67" s="33"/>
    </row>
    <row r="68" spans="1:13" x14ac:dyDescent="0.3">
      <c r="A68" s="27"/>
      <c r="B68" s="27"/>
      <c r="C68" s="28"/>
      <c r="D68" s="30"/>
      <c r="E68" s="27"/>
      <c r="F68" s="31"/>
      <c r="G68" s="33"/>
      <c r="H68" s="27"/>
      <c r="I68" s="28"/>
      <c r="J68" s="30"/>
      <c r="K68" s="27"/>
      <c r="L68" s="31"/>
      <c r="M68" s="33"/>
    </row>
    <row r="69" spans="1:13" x14ac:dyDescent="0.3">
      <c r="A69" s="27"/>
      <c r="B69" s="27"/>
      <c r="C69" s="28"/>
      <c r="D69" s="30"/>
      <c r="E69" s="27"/>
      <c r="F69" s="31"/>
      <c r="G69" s="33"/>
      <c r="H69" s="27"/>
      <c r="I69" s="28"/>
      <c r="J69" s="30"/>
      <c r="K69" s="27"/>
      <c r="L69" s="31"/>
      <c r="M69" s="33"/>
    </row>
    <row r="70" spans="1:13" x14ac:dyDescent="0.3">
      <c r="A70" s="27"/>
      <c r="B70" s="27"/>
      <c r="C70" s="28"/>
      <c r="D70" s="30"/>
      <c r="E70" s="27"/>
      <c r="F70" s="31"/>
      <c r="G70" s="33"/>
      <c r="H70" s="27"/>
      <c r="I70" s="28"/>
      <c r="J70" s="30"/>
      <c r="K70" s="27"/>
      <c r="L70" s="31"/>
      <c r="M70" s="33"/>
    </row>
    <row r="71" spans="1:13" x14ac:dyDescent="0.3">
      <c r="A71" s="27"/>
      <c r="B71" s="27"/>
      <c r="C71" s="28"/>
      <c r="D71" s="30"/>
      <c r="E71" s="27"/>
      <c r="F71" s="31"/>
      <c r="G71" s="33"/>
      <c r="H71" s="27"/>
      <c r="I71" s="28"/>
      <c r="J71" s="30"/>
      <c r="K71" s="27"/>
      <c r="L71" s="31"/>
      <c r="M71" s="33"/>
    </row>
    <row r="72" spans="1:13" x14ac:dyDescent="0.3">
      <c r="A72" s="27"/>
      <c r="B72" s="27"/>
      <c r="C72" s="28"/>
      <c r="D72" s="30"/>
      <c r="E72" s="27"/>
      <c r="F72" s="31"/>
      <c r="G72" s="33"/>
      <c r="H72" s="27"/>
      <c r="I72" s="28"/>
      <c r="J72" s="30"/>
      <c r="K72" s="27"/>
      <c r="L72" s="31"/>
      <c r="M72" s="33"/>
    </row>
    <row r="73" spans="1:13" x14ac:dyDescent="0.3">
      <c r="A73" s="27"/>
      <c r="B73" s="27"/>
      <c r="C73" s="28"/>
      <c r="D73" s="30"/>
      <c r="E73" s="27"/>
      <c r="F73" s="31"/>
      <c r="G73" s="33"/>
      <c r="H73" s="27"/>
      <c r="I73" s="28"/>
      <c r="J73" s="30"/>
      <c r="K73" s="27"/>
      <c r="L73" s="31"/>
      <c r="M73" s="33"/>
    </row>
    <row r="74" spans="1:13" x14ac:dyDescent="0.3">
      <c r="A74" s="27"/>
      <c r="B74" s="27"/>
      <c r="C74" s="28"/>
      <c r="D74" s="30"/>
      <c r="E74" s="27"/>
      <c r="F74" s="31"/>
      <c r="G74" s="33"/>
      <c r="H74" s="27"/>
      <c r="I74" s="28"/>
      <c r="J74" s="30"/>
      <c r="K74" s="27"/>
      <c r="L74" s="31"/>
      <c r="M74" s="33"/>
    </row>
    <row r="75" spans="1:13" x14ac:dyDescent="0.3">
      <c r="A75" s="27"/>
      <c r="B75" s="27"/>
      <c r="C75" s="28"/>
      <c r="D75" s="30"/>
      <c r="E75" s="27"/>
      <c r="F75" s="31"/>
      <c r="G75" s="33"/>
      <c r="H75" s="27"/>
      <c r="I75" s="28"/>
      <c r="J75" s="30"/>
      <c r="K75" s="27"/>
      <c r="L75" s="31"/>
      <c r="M75" s="33"/>
    </row>
    <row r="76" spans="1:13" x14ac:dyDescent="0.3">
      <c r="A76" s="27"/>
      <c r="B76" s="27"/>
      <c r="C76" s="28"/>
      <c r="D76" s="30"/>
      <c r="E76" s="27"/>
      <c r="F76" s="31"/>
      <c r="G76" s="33"/>
      <c r="H76" s="27"/>
      <c r="I76" s="28"/>
      <c r="J76" s="30"/>
      <c r="K76" s="27"/>
      <c r="L76" s="31"/>
      <c r="M76" s="33"/>
    </row>
    <row r="77" spans="1:13" x14ac:dyDescent="0.3">
      <c r="A77" s="27"/>
      <c r="B77" s="27"/>
      <c r="C77" s="28"/>
      <c r="D77" s="30"/>
      <c r="E77" s="27"/>
      <c r="F77" s="31"/>
      <c r="G77" s="33"/>
      <c r="H77" s="27"/>
      <c r="I77" s="28"/>
      <c r="J77" s="30"/>
      <c r="K77" s="27"/>
      <c r="L77" s="31"/>
      <c r="M77" s="33"/>
    </row>
    <row r="78" spans="1:13" x14ac:dyDescent="0.3">
      <c r="A78" s="27"/>
      <c r="B78" s="27"/>
      <c r="C78" s="28"/>
      <c r="D78" s="30"/>
      <c r="E78" s="27"/>
      <c r="F78" s="31"/>
      <c r="G78" s="33"/>
      <c r="H78" s="27"/>
      <c r="I78" s="28"/>
      <c r="J78" s="30"/>
      <c r="K78" s="27"/>
      <c r="L78" s="31"/>
      <c r="M78" s="33"/>
    </row>
    <row r="79" spans="1:13" x14ac:dyDescent="0.3">
      <c r="A79" s="27"/>
      <c r="B79" s="27"/>
      <c r="C79" s="28"/>
      <c r="D79" s="30"/>
      <c r="E79" s="27"/>
      <c r="F79" s="31"/>
      <c r="G79" s="33"/>
      <c r="H79" s="27"/>
      <c r="I79" s="28"/>
      <c r="J79" s="30"/>
      <c r="K79" s="27"/>
      <c r="L79" s="31"/>
      <c r="M79" s="33"/>
    </row>
    <row r="80" spans="1:13" x14ac:dyDescent="0.3">
      <c r="A80" s="27"/>
      <c r="B80" s="27"/>
      <c r="C80" s="28"/>
      <c r="D80" s="30"/>
      <c r="E80" s="27"/>
      <c r="F80" s="31"/>
      <c r="G80" s="33"/>
      <c r="H80" s="27"/>
      <c r="I80" s="28"/>
      <c r="J80" s="30"/>
      <c r="K80" s="27"/>
      <c r="L80" s="31"/>
      <c r="M80" s="33"/>
    </row>
    <row r="81" spans="1:13" x14ac:dyDescent="0.3">
      <c r="A81" s="27"/>
      <c r="B81" s="27"/>
      <c r="C81" s="28"/>
      <c r="D81" s="30"/>
      <c r="E81" s="27"/>
      <c r="F81" s="31"/>
      <c r="G81" s="33"/>
      <c r="H81" s="27"/>
      <c r="I81" s="28"/>
      <c r="J81" s="30"/>
      <c r="K81" s="27"/>
      <c r="L81" s="31"/>
      <c r="M81" s="33"/>
    </row>
    <row r="82" spans="1:13" x14ac:dyDescent="0.3">
      <c r="A82" s="27"/>
      <c r="B82" s="27"/>
      <c r="C82" s="28"/>
      <c r="D82" s="30"/>
      <c r="E82" s="27"/>
      <c r="F82" s="31"/>
      <c r="G82" s="33"/>
      <c r="H82" s="27"/>
      <c r="I82" s="28"/>
      <c r="J82" s="30"/>
      <c r="K82" s="27"/>
      <c r="L82" s="31"/>
      <c r="M82" s="33"/>
    </row>
    <row r="83" spans="1:13" x14ac:dyDescent="0.3">
      <c r="A83" s="27"/>
      <c r="B83" s="27"/>
      <c r="C83" s="28"/>
      <c r="D83" s="30"/>
      <c r="E83" s="27"/>
      <c r="F83" s="31"/>
      <c r="G83" s="33"/>
      <c r="H83" s="27"/>
      <c r="I83" s="28"/>
      <c r="J83" s="30"/>
      <c r="K83" s="27"/>
      <c r="L83" s="31"/>
      <c r="M83" s="33"/>
    </row>
    <row r="84" spans="1:13" x14ac:dyDescent="0.3">
      <c r="A84" s="27"/>
      <c r="B84" s="27"/>
      <c r="C84" s="28"/>
      <c r="D84" s="30"/>
      <c r="E84" s="27"/>
      <c r="F84" s="31"/>
      <c r="G84" s="33"/>
      <c r="H84" s="27"/>
      <c r="I84" s="28"/>
      <c r="J84" s="30"/>
      <c r="K84" s="27"/>
      <c r="L84" s="31"/>
      <c r="M84" s="33"/>
    </row>
    <row r="85" spans="1:13" x14ac:dyDescent="0.3">
      <c r="A85" s="27"/>
      <c r="B85" s="27"/>
      <c r="C85" s="28"/>
      <c r="D85" s="30"/>
      <c r="E85" s="27"/>
      <c r="F85" s="31"/>
      <c r="G85" s="33"/>
      <c r="H85" s="27"/>
      <c r="I85" s="28"/>
      <c r="J85" s="30"/>
      <c r="K85" s="27"/>
      <c r="L85" s="31"/>
      <c r="M85" s="33"/>
    </row>
    <row r="86" spans="1:13" x14ac:dyDescent="0.3">
      <c r="A86" s="27"/>
      <c r="B86" s="27"/>
      <c r="C86" s="28"/>
      <c r="D86" s="30"/>
      <c r="E86" s="27"/>
      <c r="F86" s="31"/>
      <c r="G86" s="33"/>
      <c r="H86" s="27"/>
      <c r="I86" s="28"/>
      <c r="J86" s="30"/>
      <c r="K86" s="27"/>
      <c r="L86" s="31"/>
      <c r="M86" s="33"/>
    </row>
    <row r="87" spans="1:13" x14ac:dyDescent="0.3">
      <c r="A87" s="27"/>
      <c r="B87" s="27"/>
      <c r="C87" s="28"/>
      <c r="D87" s="30"/>
      <c r="E87" s="27"/>
      <c r="F87" s="31"/>
      <c r="G87" s="33"/>
      <c r="H87" s="27"/>
      <c r="I87" s="28"/>
      <c r="J87" s="30"/>
      <c r="K87" s="27"/>
      <c r="L87" s="31"/>
      <c r="M87" s="33"/>
    </row>
    <row r="88" spans="1:13" x14ac:dyDescent="0.3">
      <c r="A88" s="27"/>
      <c r="B88" s="27"/>
      <c r="C88" s="28"/>
      <c r="D88" s="30"/>
      <c r="E88" s="27"/>
      <c r="F88" s="31"/>
      <c r="G88" s="33"/>
      <c r="H88" s="27"/>
      <c r="I88" s="28"/>
      <c r="J88" s="30"/>
      <c r="K88" s="27"/>
      <c r="L88" s="31"/>
      <c r="M88" s="33"/>
    </row>
    <row r="89" spans="1:13" x14ac:dyDescent="0.3">
      <c r="A89" s="27"/>
      <c r="B89" s="27"/>
      <c r="C89" s="28"/>
      <c r="D89" s="30"/>
      <c r="E89" s="27"/>
      <c r="F89" s="31"/>
      <c r="G89" s="33"/>
      <c r="H89" s="27"/>
      <c r="I89" s="28"/>
      <c r="J89" s="30"/>
      <c r="K89" s="27"/>
      <c r="L89" s="31"/>
      <c r="M89" s="33"/>
    </row>
    <row r="90" spans="1:13" x14ac:dyDescent="0.3">
      <c r="A90" s="27"/>
      <c r="B90" s="27"/>
      <c r="C90" s="28"/>
      <c r="D90" s="30"/>
      <c r="E90" s="27"/>
      <c r="F90" s="31"/>
      <c r="G90" s="33"/>
      <c r="H90" s="27"/>
      <c r="I90" s="28"/>
      <c r="J90" s="30"/>
      <c r="K90" s="27"/>
      <c r="L90" s="31"/>
      <c r="M90" s="33"/>
    </row>
    <row r="91" spans="1:13" x14ac:dyDescent="0.3">
      <c r="A91" s="27"/>
      <c r="B91" s="27"/>
      <c r="C91" s="28"/>
      <c r="D91" s="30"/>
      <c r="E91" s="27"/>
      <c r="F91" s="31"/>
      <c r="G91" s="33"/>
      <c r="H91" s="27"/>
      <c r="I91" s="28"/>
      <c r="J91" s="30"/>
      <c r="K91" s="27"/>
      <c r="L91" s="31"/>
      <c r="M91" s="33"/>
    </row>
    <row r="92" spans="1:13" x14ac:dyDescent="0.3">
      <c r="A92" s="27"/>
      <c r="B92" s="27"/>
      <c r="C92" s="28"/>
      <c r="D92" s="30"/>
      <c r="E92" s="27"/>
      <c r="F92" s="31"/>
      <c r="G92" s="33"/>
      <c r="H92" s="27"/>
      <c r="I92" s="28"/>
      <c r="J92" s="30"/>
      <c r="K92" s="27"/>
      <c r="L92" s="31"/>
      <c r="M92" s="33"/>
    </row>
    <row r="93" spans="1:13" x14ac:dyDescent="0.3">
      <c r="A93" s="27"/>
      <c r="B93" s="27"/>
      <c r="C93" s="28"/>
      <c r="D93" s="30"/>
      <c r="E93" s="27"/>
      <c r="F93" s="31"/>
      <c r="G93" s="33"/>
      <c r="H93" s="27"/>
      <c r="I93" s="28"/>
      <c r="J93" s="30"/>
      <c r="K93" s="27"/>
      <c r="L93" s="31"/>
      <c r="M93" s="33"/>
    </row>
    <row r="94" spans="1:13" x14ac:dyDescent="0.3">
      <c r="A94" s="27"/>
      <c r="B94" s="27"/>
      <c r="C94" s="28"/>
      <c r="D94" s="30"/>
      <c r="E94" s="27"/>
      <c r="F94" s="31"/>
      <c r="G94" s="33"/>
      <c r="H94" s="27"/>
      <c r="I94" s="28"/>
      <c r="J94" s="30"/>
      <c r="K94" s="27"/>
      <c r="L94" s="31"/>
      <c r="M94" s="33"/>
    </row>
    <row r="95" spans="1:13" x14ac:dyDescent="0.3">
      <c r="A95" s="27"/>
      <c r="B95" s="27"/>
      <c r="C95" s="28"/>
      <c r="D95" s="30"/>
      <c r="E95" s="27"/>
      <c r="F95" s="31"/>
      <c r="G95" s="33"/>
      <c r="H95" s="27"/>
      <c r="I95" s="28"/>
      <c r="J95" s="30"/>
      <c r="K95" s="27"/>
      <c r="L95" s="31"/>
      <c r="M95" s="33"/>
    </row>
    <row r="96" spans="1:13" x14ac:dyDescent="0.3">
      <c r="A96" s="27"/>
      <c r="B96" s="27"/>
      <c r="C96" s="28"/>
      <c r="D96" s="30"/>
      <c r="E96" s="27"/>
      <c r="F96" s="31"/>
      <c r="G96" s="33"/>
      <c r="H96" s="27"/>
      <c r="I96" s="28"/>
      <c r="J96" s="30"/>
      <c r="K96" s="27"/>
      <c r="L96" s="31"/>
      <c r="M96" s="33"/>
    </row>
    <row r="97" spans="1:13" x14ac:dyDescent="0.3">
      <c r="A97" s="27"/>
      <c r="B97" s="27"/>
      <c r="C97" s="28"/>
      <c r="D97" s="30"/>
      <c r="E97" s="27"/>
      <c r="F97" s="31"/>
      <c r="G97" s="33"/>
      <c r="H97" s="27"/>
      <c r="I97" s="28"/>
      <c r="J97" s="30"/>
      <c r="K97" s="27"/>
      <c r="L97" s="31"/>
      <c r="M97" s="33"/>
    </row>
    <row r="98" spans="1:13" x14ac:dyDescent="0.3">
      <c r="A98" s="27"/>
      <c r="B98" s="27"/>
      <c r="C98" s="28"/>
      <c r="D98" s="30"/>
      <c r="E98" s="27"/>
      <c r="F98" s="31"/>
      <c r="G98" s="33"/>
      <c r="H98" s="27"/>
      <c r="I98" s="28"/>
      <c r="J98" s="30"/>
      <c r="K98" s="27"/>
      <c r="L98" s="31"/>
      <c r="M98" s="33"/>
    </row>
    <row r="99" spans="1:13" x14ac:dyDescent="0.3">
      <c r="A99" s="27"/>
      <c r="B99" s="27"/>
      <c r="C99" s="28"/>
      <c r="D99" s="30"/>
      <c r="E99" s="27"/>
      <c r="F99" s="31"/>
      <c r="G99" s="33"/>
      <c r="H99" s="27"/>
      <c r="I99" s="28"/>
      <c r="J99" s="30"/>
      <c r="K99" s="27"/>
      <c r="L99" s="31"/>
      <c r="M99" s="33"/>
    </row>
    <row r="100" spans="1:13" x14ac:dyDescent="0.3">
      <c r="A100" s="27"/>
      <c r="B100" s="27"/>
      <c r="C100" s="28"/>
      <c r="D100" s="30"/>
      <c r="E100" s="27"/>
      <c r="F100" s="31"/>
      <c r="G100" s="33"/>
      <c r="H100" s="27"/>
      <c r="I100" s="28"/>
      <c r="J100" s="30"/>
      <c r="K100" s="27"/>
      <c r="L100" s="31"/>
      <c r="M100" s="33"/>
    </row>
    <row r="101" spans="1:13" x14ac:dyDescent="0.3">
      <c r="A101" s="27"/>
      <c r="B101" s="27"/>
      <c r="C101" s="28"/>
      <c r="D101" s="30"/>
      <c r="E101" s="27"/>
      <c r="F101" s="31"/>
      <c r="G101" s="33"/>
      <c r="H101" s="27"/>
      <c r="I101" s="28"/>
      <c r="J101" s="30"/>
      <c r="K101" s="27"/>
      <c r="L101" s="31"/>
      <c r="M101" s="33"/>
    </row>
    <row r="102" spans="1:13" x14ac:dyDescent="0.3">
      <c r="A102" s="27"/>
      <c r="B102" s="27"/>
      <c r="C102" s="28"/>
      <c r="D102" s="30"/>
      <c r="E102" s="27"/>
      <c r="F102" s="31"/>
      <c r="G102" s="33"/>
      <c r="H102" s="27"/>
      <c r="I102" s="28"/>
      <c r="J102" s="30"/>
      <c r="K102" s="27"/>
      <c r="L102" s="31"/>
      <c r="M102" s="33"/>
    </row>
    <row r="103" spans="1:13" x14ac:dyDescent="0.3">
      <c r="A103" s="27"/>
      <c r="B103" s="27"/>
      <c r="C103" s="28"/>
      <c r="D103" s="30"/>
      <c r="E103" s="27"/>
      <c r="F103" s="31"/>
      <c r="G103" s="33"/>
      <c r="H103" s="27"/>
      <c r="I103" s="28"/>
      <c r="J103" s="30"/>
      <c r="K103" s="27"/>
      <c r="L103" s="31"/>
      <c r="M103" s="33"/>
    </row>
    <row r="104" spans="1:13" x14ac:dyDescent="0.3">
      <c r="A104" s="27"/>
      <c r="B104" s="27"/>
      <c r="C104" s="28"/>
      <c r="D104" s="30"/>
      <c r="E104" s="27"/>
      <c r="F104" s="31"/>
      <c r="G104" s="33"/>
      <c r="H104" s="27"/>
      <c r="I104" s="28"/>
      <c r="J104" s="30"/>
      <c r="K104" s="27"/>
      <c r="L104" s="31"/>
      <c r="M104" s="33"/>
    </row>
    <row r="105" spans="1:13" x14ac:dyDescent="0.3">
      <c r="A105" s="27"/>
      <c r="B105" s="27"/>
      <c r="C105" s="28"/>
      <c r="D105" s="30"/>
      <c r="E105" s="27"/>
      <c r="F105" s="31"/>
      <c r="G105" s="33"/>
      <c r="H105" s="27"/>
      <c r="I105" s="28"/>
      <c r="J105" s="30"/>
      <c r="K105" s="27"/>
      <c r="L105" s="31"/>
      <c r="M105" s="33"/>
    </row>
    <row r="106" spans="1:13" x14ac:dyDescent="0.3">
      <c r="A106" s="27"/>
      <c r="B106" s="27"/>
      <c r="C106" s="28"/>
      <c r="D106" s="30"/>
      <c r="E106" s="27"/>
      <c r="F106" s="31"/>
      <c r="G106" s="33"/>
      <c r="H106" s="27"/>
      <c r="I106" s="28"/>
      <c r="J106" s="30"/>
      <c r="K106" s="27"/>
      <c r="L106" s="31"/>
      <c r="M106" s="33"/>
    </row>
    <row r="107" spans="1:13" x14ac:dyDescent="0.3">
      <c r="A107" s="27"/>
      <c r="B107" s="27"/>
      <c r="C107" s="28"/>
      <c r="D107" s="30"/>
      <c r="E107" s="27"/>
      <c r="F107" s="31"/>
      <c r="G107" s="33"/>
      <c r="H107" s="27"/>
      <c r="I107" s="28"/>
      <c r="J107" s="30"/>
      <c r="K107" s="27"/>
      <c r="L107" s="31"/>
      <c r="M107" s="33"/>
    </row>
    <row r="108" spans="1:13" x14ac:dyDescent="0.3">
      <c r="A108" s="27"/>
      <c r="B108" s="27"/>
      <c r="C108" s="28"/>
      <c r="D108" s="30"/>
      <c r="E108" s="27"/>
      <c r="F108" s="31"/>
      <c r="G108" s="33"/>
      <c r="H108" s="27"/>
      <c r="I108" s="28"/>
      <c r="J108" s="30"/>
      <c r="K108" s="27"/>
      <c r="L108" s="31"/>
      <c r="M108" s="33"/>
    </row>
    <row r="109" spans="1:13" x14ac:dyDescent="0.3">
      <c r="A109" s="27"/>
      <c r="B109" s="27"/>
      <c r="C109" s="28"/>
      <c r="D109" s="30"/>
      <c r="E109" s="27"/>
      <c r="F109" s="31"/>
      <c r="G109" s="33"/>
      <c r="H109" s="27"/>
      <c r="I109" s="28"/>
      <c r="J109" s="30"/>
      <c r="K109" s="27"/>
      <c r="L109" s="31"/>
      <c r="M109" s="33"/>
    </row>
    <row r="110" spans="1:13" x14ac:dyDescent="0.3">
      <c r="A110" s="27"/>
      <c r="B110" s="27"/>
      <c r="C110" s="28"/>
      <c r="D110" s="30"/>
      <c r="E110" s="27"/>
      <c r="F110" s="31"/>
      <c r="G110" s="33"/>
      <c r="H110" s="27"/>
      <c r="I110" s="28"/>
      <c r="J110" s="30"/>
      <c r="K110" s="27"/>
      <c r="L110" s="31"/>
      <c r="M110" s="33"/>
    </row>
    <row r="111" spans="1:13" x14ac:dyDescent="0.3">
      <c r="A111" s="27"/>
      <c r="B111" s="27"/>
      <c r="C111" s="28"/>
      <c r="D111" s="30"/>
      <c r="E111" s="27"/>
      <c r="F111" s="31"/>
      <c r="G111" s="33"/>
      <c r="H111" s="27"/>
      <c r="I111" s="28"/>
      <c r="J111" s="30"/>
      <c r="K111" s="27"/>
      <c r="L111" s="31"/>
      <c r="M111" s="33"/>
    </row>
    <row r="112" spans="1:13" x14ac:dyDescent="0.3">
      <c r="A112" s="27"/>
      <c r="B112" s="27"/>
      <c r="C112" s="28"/>
      <c r="D112" s="30"/>
      <c r="E112" s="27"/>
      <c r="F112" s="31"/>
      <c r="G112" s="33"/>
      <c r="H112" s="27"/>
      <c r="I112" s="28"/>
      <c r="J112" s="30"/>
      <c r="K112" s="27"/>
      <c r="L112" s="31"/>
      <c r="M112" s="33"/>
    </row>
    <row r="113" spans="1:13" x14ac:dyDescent="0.3">
      <c r="A113" s="27"/>
      <c r="B113" s="27"/>
      <c r="C113" s="28"/>
      <c r="D113" s="30"/>
      <c r="E113" s="27"/>
      <c r="F113" s="31"/>
      <c r="G113" s="33"/>
      <c r="H113" s="27"/>
      <c r="I113" s="28"/>
      <c r="J113" s="30"/>
      <c r="K113" s="27"/>
      <c r="L113" s="31"/>
      <c r="M113" s="33"/>
    </row>
    <row r="114" spans="1:13" x14ac:dyDescent="0.3">
      <c r="A114" s="27"/>
      <c r="B114" s="27"/>
      <c r="C114" s="28"/>
      <c r="D114" s="30"/>
      <c r="E114" s="27"/>
      <c r="F114" s="31"/>
      <c r="G114" s="33"/>
      <c r="H114" s="27"/>
      <c r="I114" s="28"/>
      <c r="J114" s="30"/>
      <c r="K114" s="27"/>
      <c r="L114" s="31"/>
      <c r="M114" s="33"/>
    </row>
    <row r="115" spans="1:13" x14ac:dyDescent="0.3">
      <c r="A115" s="27"/>
      <c r="B115" s="27"/>
      <c r="C115" s="28"/>
      <c r="D115" s="30"/>
      <c r="E115" s="27"/>
      <c r="F115" s="31"/>
      <c r="G115" s="33"/>
      <c r="H115" s="27"/>
      <c r="I115" s="28"/>
      <c r="J115" s="30"/>
      <c r="K115" s="27"/>
      <c r="L115" s="31"/>
      <c r="M115" s="33"/>
    </row>
    <row r="116" spans="1:13" x14ac:dyDescent="0.3">
      <c r="A116" s="27"/>
      <c r="B116" s="27"/>
      <c r="C116" s="28"/>
      <c r="D116" s="30"/>
      <c r="E116" s="27"/>
      <c r="F116" s="31"/>
      <c r="G116" s="33"/>
      <c r="H116" s="27"/>
      <c r="I116" s="28"/>
      <c r="J116" s="30"/>
      <c r="K116" s="27"/>
      <c r="L116" s="31"/>
      <c r="M116" s="33"/>
    </row>
    <row r="117" spans="1:13" x14ac:dyDescent="0.3">
      <c r="A117" s="27"/>
      <c r="B117" s="27"/>
      <c r="C117" s="28"/>
      <c r="D117" s="30"/>
      <c r="E117" s="27"/>
      <c r="F117" s="31"/>
      <c r="G117" s="33"/>
      <c r="H117" s="27"/>
      <c r="I117" s="28"/>
      <c r="J117" s="30"/>
      <c r="K117" s="27"/>
      <c r="L117" s="31"/>
      <c r="M117" s="33"/>
    </row>
    <row r="118" spans="1:13" x14ac:dyDescent="0.3">
      <c r="A118" s="27"/>
      <c r="B118" s="27"/>
      <c r="C118" s="28"/>
      <c r="D118" s="30"/>
      <c r="E118" s="27"/>
      <c r="F118" s="31"/>
      <c r="G118" s="33"/>
      <c r="H118" s="27"/>
      <c r="I118" s="28"/>
      <c r="J118" s="30"/>
      <c r="K118" s="27"/>
      <c r="L118" s="31"/>
      <c r="M118" s="33"/>
    </row>
    <row r="119" spans="1:13" x14ac:dyDescent="0.3">
      <c r="A119" s="27"/>
      <c r="B119" s="27"/>
      <c r="C119" s="28"/>
      <c r="D119" s="30"/>
      <c r="E119" s="27"/>
      <c r="F119" s="31"/>
      <c r="G119" s="33"/>
      <c r="H119" s="27"/>
      <c r="I119" s="28"/>
      <c r="J119" s="30"/>
      <c r="K119" s="27"/>
      <c r="L119" s="31"/>
      <c r="M119" s="33"/>
    </row>
    <row r="120" spans="1:13" x14ac:dyDescent="0.3">
      <c r="A120" s="27"/>
      <c r="B120" s="27"/>
      <c r="C120" s="28"/>
      <c r="D120" s="30"/>
      <c r="E120" s="27"/>
      <c r="F120" s="31"/>
      <c r="G120" s="33"/>
      <c r="H120" s="27"/>
      <c r="I120" s="28"/>
      <c r="J120" s="30"/>
      <c r="K120" s="27"/>
      <c r="L120" s="31"/>
      <c r="M120" s="33"/>
    </row>
    <row r="121" spans="1:13" x14ac:dyDescent="0.3">
      <c r="A121" s="27"/>
      <c r="B121" s="27"/>
      <c r="C121" s="28"/>
      <c r="D121" s="30"/>
      <c r="E121" s="27"/>
      <c r="F121" s="31"/>
      <c r="G121" s="33"/>
      <c r="H121" s="27"/>
      <c r="I121" s="28"/>
      <c r="J121" s="30"/>
      <c r="K121" s="27"/>
      <c r="L121" s="31"/>
      <c r="M121" s="33"/>
    </row>
    <row r="122" spans="1:13" x14ac:dyDescent="0.3">
      <c r="A122" s="27"/>
      <c r="B122" s="27"/>
      <c r="C122" s="28"/>
      <c r="D122" s="30"/>
      <c r="E122" s="27"/>
      <c r="F122" s="31"/>
      <c r="G122" s="33"/>
      <c r="H122" s="27"/>
      <c r="I122" s="28"/>
      <c r="J122" s="30"/>
      <c r="K122" s="27"/>
      <c r="L122" s="31"/>
      <c r="M122" s="33"/>
    </row>
    <row r="123" spans="1:13" x14ac:dyDescent="0.3">
      <c r="A123" s="27"/>
      <c r="B123" s="27"/>
      <c r="C123" s="28"/>
      <c r="D123" s="30"/>
      <c r="E123" s="27"/>
      <c r="F123" s="31"/>
      <c r="G123" s="33"/>
      <c r="H123" s="27"/>
      <c r="I123" s="28"/>
      <c r="J123" s="30"/>
      <c r="K123" s="27"/>
      <c r="L123" s="31"/>
      <c r="M123" s="33"/>
    </row>
    <row r="124" spans="1:13" x14ac:dyDescent="0.3">
      <c r="A124" s="27"/>
      <c r="B124" s="27"/>
      <c r="C124" s="28"/>
      <c r="D124" s="30"/>
      <c r="E124" s="27"/>
      <c r="F124" s="31"/>
      <c r="G124" s="33"/>
      <c r="H124" s="27"/>
      <c r="I124" s="28"/>
      <c r="J124" s="30"/>
      <c r="K124" s="27"/>
      <c r="L124" s="31"/>
      <c r="M124" s="33"/>
    </row>
    <row r="125" spans="1:13" x14ac:dyDescent="0.3">
      <c r="A125" s="27"/>
      <c r="B125" s="27"/>
      <c r="C125" s="28"/>
      <c r="D125" s="30"/>
      <c r="E125" s="27"/>
      <c r="F125" s="31"/>
      <c r="G125" s="33"/>
      <c r="H125" s="27"/>
      <c r="I125" s="28"/>
      <c r="J125" s="30"/>
      <c r="K125" s="27"/>
      <c r="L125" s="31"/>
      <c r="M125" s="33"/>
    </row>
    <row r="126" spans="1:13" x14ac:dyDescent="0.3">
      <c r="A126" s="27"/>
      <c r="B126" s="27"/>
      <c r="C126" s="28"/>
      <c r="D126" s="30"/>
      <c r="E126" s="27"/>
      <c r="F126" s="31"/>
      <c r="G126" s="33"/>
      <c r="H126" s="27"/>
      <c r="I126" s="28"/>
      <c r="J126" s="30"/>
      <c r="K126" s="27"/>
      <c r="L126" s="31"/>
      <c r="M126" s="33"/>
    </row>
    <row r="127" spans="1:13" x14ac:dyDescent="0.3">
      <c r="A127" s="27"/>
      <c r="B127" s="27"/>
      <c r="C127" s="28"/>
      <c r="D127" s="30"/>
      <c r="E127" s="27"/>
      <c r="F127" s="31"/>
      <c r="G127" s="33"/>
      <c r="H127" s="27"/>
      <c r="I127" s="28"/>
      <c r="J127" s="30"/>
      <c r="K127" s="27"/>
      <c r="L127" s="31"/>
      <c r="M127" s="33"/>
    </row>
    <row r="128" spans="1:13" x14ac:dyDescent="0.3">
      <c r="A128" s="27"/>
      <c r="B128" s="27"/>
      <c r="C128" s="28"/>
      <c r="D128" s="30"/>
      <c r="E128" s="27"/>
      <c r="F128" s="31"/>
      <c r="G128" s="33"/>
      <c r="H128" s="27"/>
      <c r="I128" s="28"/>
      <c r="J128" s="30"/>
      <c r="K128" s="27"/>
      <c r="L128" s="31"/>
      <c r="M128" s="33"/>
    </row>
    <row r="129" spans="1:13" x14ac:dyDescent="0.3">
      <c r="A129" s="27"/>
      <c r="B129" s="27"/>
      <c r="C129" s="28"/>
      <c r="D129" s="30"/>
      <c r="E129" s="27"/>
      <c r="F129" s="31"/>
      <c r="G129" s="33"/>
      <c r="H129" s="27"/>
      <c r="I129" s="28"/>
      <c r="J129" s="30"/>
      <c r="K129" s="27"/>
      <c r="L129" s="31"/>
      <c r="M129" s="33"/>
    </row>
    <row r="130" spans="1:13" x14ac:dyDescent="0.3">
      <c r="A130" s="27"/>
      <c r="B130" s="27"/>
      <c r="C130" s="28"/>
      <c r="D130" s="30"/>
      <c r="E130" s="27"/>
      <c r="F130" s="31"/>
      <c r="G130" s="33"/>
      <c r="H130" s="27"/>
      <c r="I130" s="28"/>
      <c r="J130" s="30"/>
      <c r="K130" s="27"/>
      <c r="L130" s="31"/>
      <c r="M130" s="33"/>
    </row>
    <row r="131" spans="1:13" x14ac:dyDescent="0.3">
      <c r="A131" s="27"/>
      <c r="B131" s="27"/>
      <c r="C131" s="28"/>
      <c r="D131" s="30"/>
      <c r="E131" s="27"/>
      <c r="F131" s="31"/>
      <c r="G131" s="33"/>
      <c r="H131" s="27"/>
      <c r="I131" s="28"/>
      <c r="J131" s="30"/>
      <c r="K131" s="27"/>
      <c r="L131" s="31"/>
      <c r="M131" s="33"/>
    </row>
    <row r="132" spans="1:13" x14ac:dyDescent="0.3">
      <c r="A132" s="27"/>
      <c r="B132" s="27"/>
      <c r="C132" s="28"/>
      <c r="D132" s="30"/>
      <c r="E132" s="27"/>
      <c r="F132" s="31"/>
      <c r="G132" s="33"/>
      <c r="H132" s="27"/>
      <c r="I132" s="28"/>
      <c r="J132" s="30"/>
      <c r="K132" s="27"/>
      <c r="L132" s="31"/>
      <c r="M132" s="33"/>
    </row>
    <row r="133" spans="1:13" x14ac:dyDescent="0.3">
      <c r="A133" s="27"/>
      <c r="B133" s="27"/>
      <c r="C133" s="28"/>
      <c r="D133" s="30"/>
      <c r="E133" s="27"/>
      <c r="F133" s="31"/>
      <c r="G133" s="33"/>
      <c r="H133" s="27"/>
      <c r="I133" s="28"/>
      <c r="J133" s="30"/>
      <c r="K133" s="27"/>
      <c r="L133" s="31"/>
      <c r="M133" s="33"/>
    </row>
    <row r="134" spans="1:13" x14ac:dyDescent="0.3">
      <c r="A134" s="27"/>
      <c r="B134" s="27"/>
      <c r="C134" s="28"/>
      <c r="D134" s="30"/>
      <c r="E134" s="27"/>
      <c r="F134" s="31"/>
      <c r="G134" s="33"/>
      <c r="H134" s="27"/>
      <c r="I134" s="28"/>
      <c r="J134" s="30"/>
      <c r="K134" s="27"/>
      <c r="L134" s="31"/>
      <c r="M134" s="33"/>
    </row>
    <row r="135" spans="1:13" x14ac:dyDescent="0.3">
      <c r="A135" s="27"/>
      <c r="B135" s="27"/>
      <c r="C135" s="28"/>
      <c r="D135" s="30"/>
      <c r="E135" s="27"/>
      <c r="F135" s="31"/>
      <c r="G135" s="33"/>
      <c r="H135" s="27"/>
      <c r="I135" s="28"/>
      <c r="J135" s="30"/>
      <c r="K135" s="27"/>
      <c r="L135" s="31"/>
      <c r="M135" s="33"/>
    </row>
    <row r="136" spans="1:13" x14ac:dyDescent="0.3">
      <c r="A136" s="27"/>
      <c r="B136" s="27"/>
      <c r="C136" s="28"/>
      <c r="D136" s="30"/>
      <c r="E136" s="27"/>
      <c r="F136" s="31"/>
      <c r="G136" s="33"/>
      <c r="H136" s="27"/>
      <c r="I136" s="28"/>
      <c r="J136" s="30"/>
      <c r="K136" s="27"/>
      <c r="L136" s="31"/>
      <c r="M136" s="33"/>
    </row>
    <row r="137" spans="1:13" x14ac:dyDescent="0.3">
      <c r="A137" s="27"/>
      <c r="B137" s="27"/>
      <c r="C137" s="28"/>
      <c r="D137" s="30"/>
      <c r="E137" s="27"/>
      <c r="F137" s="31"/>
      <c r="G137" s="33"/>
      <c r="H137" s="27"/>
      <c r="I137" s="28"/>
      <c r="J137" s="30"/>
      <c r="K137" s="27"/>
      <c r="L137" s="31"/>
      <c r="M137" s="33"/>
    </row>
    <row r="138" spans="1:13" x14ac:dyDescent="0.3">
      <c r="A138" s="27"/>
      <c r="B138" s="27"/>
      <c r="C138" s="28"/>
      <c r="D138" s="30"/>
      <c r="E138" s="27"/>
      <c r="F138" s="31"/>
      <c r="G138" s="33"/>
      <c r="H138" s="27"/>
      <c r="I138" s="28"/>
      <c r="J138" s="30"/>
      <c r="K138" s="27"/>
      <c r="L138" s="31"/>
      <c r="M138" s="33"/>
    </row>
    <row r="139" spans="1:13" x14ac:dyDescent="0.3">
      <c r="A139" s="27"/>
      <c r="B139" s="27"/>
      <c r="C139" s="28"/>
      <c r="D139" s="30"/>
      <c r="E139" s="27"/>
      <c r="F139" s="31"/>
      <c r="G139" s="33"/>
      <c r="H139" s="27"/>
      <c r="I139" s="28"/>
      <c r="J139" s="30"/>
      <c r="K139" s="27"/>
      <c r="L139" s="31"/>
      <c r="M139" s="33"/>
    </row>
    <row r="140" spans="1:13" x14ac:dyDescent="0.3">
      <c r="A140" s="27"/>
      <c r="B140" s="27"/>
      <c r="C140" s="28"/>
      <c r="D140" s="30"/>
      <c r="E140" s="27"/>
      <c r="F140" s="31"/>
      <c r="G140" s="33"/>
      <c r="H140" s="27"/>
      <c r="I140" s="28"/>
      <c r="J140" s="30"/>
      <c r="K140" s="27"/>
      <c r="L140" s="31"/>
      <c r="M140" s="33"/>
    </row>
    <row r="141" spans="1:13" x14ac:dyDescent="0.3">
      <c r="A141" s="27"/>
      <c r="B141" s="27"/>
      <c r="C141" s="28"/>
      <c r="D141" s="30"/>
      <c r="E141" s="27"/>
      <c r="F141" s="31"/>
      <c r="G141" s="33"/>
      <c r="H141" s="27"/>
      <c r="I141" s="28"/>
      <c r="J141" s="30"/>
      <c r="K141" s="27"/>
      <c r="L141" s="31"/>
      <c r="M141" s="33"/>
    </row>
    <row r="142" spans="1:13" x14ac:dyDescent="0.3">
      <c r="A142" s="27"/>
      <c r="B142" s="27"/>
      <c r="C142" s="28"/>
      <c r="D142" s="30"/>
      <c r="E142" s="27"/>
      <c r="F142" s="31"/>
      <c r="G142" s="33"/>
      <c r="H142" s="27"/>
      <c r="I142" s="28"/>
      <c r="J142" s="30"/>
      <c r="K142" s="27"/>
      <c r="L142" s="31"/>
      <c r="M142" s="33"/>
    </row>
    <row r="143" spans="1:13" x14ac:dyDescent="0.3">
      <c r="A143" s="27"/>
      <c r="B143" s="27"/>
      <c r="C143" s="28"/>
      <c r="D143" s="30"/>
      <c r="E143" s="27"/>
      <c r="F143" s="31"/>
      <c r="G143" s="33"/>
      <c r="H143" s="27"/>
      <c r="I143" s="28"/>
      <c r="J143" s="30"/>
      <c r="K143" s="27"/>
      <c r="L143" s="31"/>
      <c r="M143" s="33"/>
    </row>
    <row r="144" spans="1:13" x14ac:dyDescent="0.3">
      <c r="A144" s="27"/>
      <c r="B144" s="27"/>
      <c r="C144" s="28"/>
      <c r="D144" s="30"/>
      <c r="E144" s="27"/>
      <c r="F144" s="31"/>
      <c r="G144" s="33"/>
      <c r="H144" s="27"/>
      <c r="I144" s="28"/>
      <c r="J144" s="30"/>
      <c r="K144" s="27"/>
      <c r="L144" s="31"/>
      <c r="M144" s="33"/>
    </row>
    <row r="145" spans="1:13" x14ac:dyDescent="0.3">
      <c r="A145" s="27"/>
      <c r="B145" s="27"/>
      <c r="C145" s="28"/>
      <c r="D145" s="30"/>
      <c r="E145" s="27"/>
      <c r="F145" s="31"/>
      <c r="G145" s="33"/>
      <c r="H145" s="27"/>
      <c r="I145" s="28"/>
      <c r="J145" s="30"/>
      <c r="K145" s="27"/>
      <c r="L145" s="31"/>
      <c r="M145" s="33"/>
    </row>
    <row r="146" spans="1:13" x14ac:dyDescent="0.3">
      <c r="A146" s="27"/>
      <c r="B146" s="27"/>
      <c r="C146" s="28"/>
      <c r="D146" s="30"/>
      <c r="E146" s="27"/>
      <c r="F146" s="31"/>
      <c r="G146" s="33"/>
      <c r="H146" s="27"/>
      <c r="I146" s="28"/>
      <c r="J146" s="30"/>
      <c r="K146" s="27"/>
      <c r="L146" s="31"/>
      <c r="M146" s="33"/>
    </row>
    <row r="147" spans="1:13" x14ac:dyDescent="0.3">
      <c r="A147" s="27"/>
      <c r="B147" s="27"/>
      <c r="C147" s="28"/>
      <c r="D147" s="30"/>
      <c r="E147" s="27"/>
      <c r="F147" s="31"/>
      <c r="G147" s="33"/>
      <c r="H147" s="27"/>
      <c r="I147" s="28"/>
      <c r="J147" s="30"/>
      <c r="K147" s="27"/>
      <c r="L147" s="31"/>
      <c r="M147" s="33"/>
    </row>
    <row r="148" spans="1:13" x14ac:dyDescent="0.3">
      <c r="A148" s="27"/>
      <c r="B148" s="27"/>
      <c r="C148" s="28"/>
      <c r="D148" s="30"/>
      <c r="E148" s="27"/>
      <c r="F148" s="31"/>
      <c r="G148" s="33"/>
      <c r="H148" s="27"/>
      <c r="I148" s="28"/>
      <c r="J148" s="30"/>
      <c r="K148" s="27"/>
      <c r="L148" s="31"/>
      <c r="M148" s="33"/>
    </row>
    <row r="149" spans="1:13" x14ac:dyDescent="0.3">
      <c r="A149" s="27"/>
      <c r="B149" s="27"/>
      <c r="C149" s="28"/>
      <c r="D149" s="30"/>
      <c r="E149" s="27"/>
      <c r="F149" s="31"/>
      <c r="G149" s="33"/>
      <c r="H149" s="27"/>
      <c r="I149" s="28"/>
      <c r="J149" s="30"/>
      <c r="K149" s="27"/>
      <c r="L149" s="31"/>
      <c r="M149" s="33"/>
    </row>
    <row r="150" spans="1:13" x14ac:dyDescent="0.3">
      <c r="A150" s="27"/>
      <c r="B150" s="27"/>
      <c r="C150" s="28"/>
      <c r="D150" s="30"/>
      <c r="E150" s="27"/>
      <c r="F150" s="31"/>
      <c r="G150" s="33"/>
      <c r="H150" s="27"/>
      <c r="I150" s="28"/>
      <c r="J150" s="30"/>
      <c r="K150" s="27"/>
      <c r="L150" s="31"/>
      <c r="M150" s="33"/>
    </row>
    <row r="151" spans="1:13" x14ac:dyDescent="0.3">
      <c r="A151" s="27"/>
      <c r="B151" s="27"/>
      <c r="C151" s="28"/>
      <c r="D151" s="30"/>
      <c r="E151" s="27"/>
      <c r="F151" s="31"/>
      <c r="G151" s="33"/>
      <c r="H151" s="27"/>
      <c r="I151" s="28"/>
      <c r="J151" s="30"/>
      <c r="K151" s="27"/>
      <c r="L151" s="31"/>
      <c r="M151" s="33"/>
    </row>
    <row r="152" spans="1:13" x14ac:dyDescent="0.3">
      <c r="A152" s="27"/>
      <c r="B152" s="27"/>
      <c r="C152" s="28"/>
      <c r="D152" s="30"/>
      <c r="E152" s="27"/>
      <c r="F152" s="31"/>
      <c r="G152" s="33"/>
      <c r="H152" s="27"/>
      <c r="I152" s="28"/>
      <c r="J152" s="30"/>
      <c r="K152" s="27"/>
      <c r="L152" s="31"/>
      <c r="M152" s="33"/>
    </row>
    <row r="153" spans="1:13" x14ac:dyDescent="0.3">
      <c r="A153" s="27"/>
      <c r="B153" s="27"/>
      <c r="C153" s="28"/>
      <c r="D153" s="30"/>
      <c r="E153" s="27"/>
      <c r="F153" s="31"/>
      <c r="G153" s="33"/>
      <c r="H153" s="27"/>
      <c r="I153" s="28"/>
      <c r="J153" s="30"/>
      <c r="K153" s="27"/>
      <c r="L153" s="31"/>
      <c r="M153" s="33"/>
    </row>
    <row r="154" spans="1:13" x14ac:dyDescent="0.3">
      <c r="A154" s="27"/>
      <c r="B154" s="27"/>
      <c r="C154" s="28"/>
      <c r="D154" s="30"/>
      <c r="E154" s="27"/>
      <c r="F154" s="31"/>
      <c r="G154" s="33"/>
      <c r="H154" s="27"/>
      <c r="I154" s="28"/>
      <c r="J154" s="30"/>
      <c r="K154" s="27"/>
      <c r="L154" s="31"/>
      <c r="M154" s="33"/>
    </row>
    <row r="155" spans="1:13" x14ac:dyDescent="0.3">
      <c r="A155" s="27"/>
      <c r="B155" s="27"/>
      <c r="C155" s="28"/>
      <c r="D155" s="30"/>
      <c r="E155" s="27"/>
      <c r="F155" s="31"/>
      <c r="G155" s="33"/>
      <c r="H155" s="27"/>
      <c r="I155" s="28"/>
      <c r="J155" s="30"/>
      <c r="K155" s="27"/>
      <c r="L155" s="31"/>
      <c r="M155" s="33"/>
    </row>
    <row r="156" spans="1:13" x14ac:dyDescent="0.3">
      <c r="A156" s="27"/>
      <c r="B156" s="27"/>
      <c r="C156" s="28"/>
      <c r="D156" s="30"/>
      <c r="E156" s="27"/>
      <c r="F156" s="31"/>
      <c r="G156" s="33"/>
      <c r="H156" s="27"/>
      <c r="I156" s="28"/>
      <c r="J156" s="30"/>
      <c r="K156" s="27"/>
      <c r="L156" s="31"/>
      <c r="M156" s="33"/>
    </row>
    <row r="157" spans="1:13" x14ac:dyDescent="0.3">
      <c r="A157" s="27"/>
      <c r="B157" s="27"/>
      <c r="C157" s="28"/>
      <c r="D157" s="30"/>
      <c r="E157" s="27"/>
      <c r="F157" s="31"/>
      <c r="G157" s="33"/>
      <c r="H157" s="27"/>
      <c r="I157" s="28"/>
      <c r="J157" s="30"/>
      <c r="K157" s="27"/>
      <c r="L157" s="31"/>
      <c r="M157" s="33"/>
    </row>
    <row r="158" spans="1:13" x14ac:dyDescent="0.3">
      <c r="A158" s="27"/>
      <c r="B158" s="27"/>
      <c r="C158" s="28"/>
      <c r="D158" s="30"/>
      <c r="E158" s="27"/>
      <c r="F158" s="31"/>
      <c r="G158" s="33"/>
      <c r="H158" s="27"/>
      <c r="I158" s="28"/>
      <c r="J158" s="30"/>
      <c r="K158" s="27"/>
      <c r="L158" s="31"/>
      <c r="M158" s="33"/>
    </row>
    <row r="159" spans="1:13" x14ac:dyDescent="0.3">
      <c r="A159" s="27"/>
      <c r="B159" s="27"/>
      <c r="C159" s="28"/>
      <c r="D159" s="30"/>
      <c r="E159" s="27"/>
      <c r="F159" s="31"/>
      <c r="G159" s="33"/>
      <c r="H159" s="27"/>
      <c r="I159" s="28"/>
      <c r="J159" s="30"/>
      <c r="K159" s="27"/>
      <c r="L159" s="31"/>
      <c r="M159" s="33"/>
    </row>
    <row r="160" spans="1:13" x14ac:dyDescent="0.3">
      <c r="A160" s="27"/>
      <c r="B160" s="27"/>
      <c r="C160" s="28"/>
      <c r="D160" s="30"/>
      <c r="E160" s="27"/>
      <c r="F160" s="31"/>
      <c r="G160" s="33"/>
      <c r="H160" s="27"/>
      <c r="I160" s="28"/>
      <c r="J160" s="30"/>
      <c r="K160" s="27"/>
      <c r="L160" s="31"/>
      <c r="M160" s="33"/>
    </row>
    <row r="161" spans="1:13" x14ac:dyDescent="0.3">
      <c r="A161" s="27"/>
      <c r="B161" s="27"/>
      <c r="C161" s="28"/>
      <c r="D161" s="30"/>
      <c r="E161" s="27"/>
      <c r="F161" s="31"/>
      <c r="G161" s="33"/>
      <c r="H161" s="27"/>
      <c r="I161" s="28"/>
      <c r="J161" s="30"/>
      <c r="K161" s="27"/>
      <c r="L161" s="31"/>
      <c r="M161" s="33"/>
    </row>
    <row r="162" spans="1:13" x14ac:dyDescent="0.3">
      <c r="A162" s="27"/>
      <c r="B162" s="27"/>
      <c r="C162" s="28"/>
      <c r="D162" s="30"/>
      <c r="E162" s="27"/>
      <c r="F162" s="31"/>
      <c r="G162" s="33"/>
      <c r="H162" s="27"/>
      <c r="I162" s="28"/>
      <c r="J162" s="30"/>
      <c r="K162" s="27"/>
      <c r="L162" s="31"/>
      <c r="M162" s="33"/>
    </row>
    <row r="163" spans="1:13" x14ac:dyDescent="0.3">
      <c r="A163" s="27"/>
      <c r="B163" s="27"/>
      <c r="C163" s="28"/>
      <c r="D163" s="30"/>
      <c r="E163" s="27"/>
      <c r="F163" s="31"/>
      <c r="G163" s="33"/>
      <c r="H163" s="27"/>
      <c r="I163" s="28"/>
      <c r="J163" s="30"/>
      <c r="K163" s="27"/>
      <c r="L163" s="31"/>
      <c r="M163" s="33"/>
    </row>
    <row r="164" spans="1:13" x14ac:dyDescent="0.3">
      <c r="A164" s="27"/>
      <c r="B164" s="27"/>
      <c r="C164" s="28"/>
      <c r="D164" s="30"/>
      <c r="E164" s="27"/>
      <c r="F164" s="31"/>
      <c r="G164" s="33"/>
      <c r="H164" s="27"/>
      <c r="I164" s="28"/>
      <c r="J164" s="30"/>
      <c r="K164" s="27"/>
      <c r="L164" s="31"/>
      <c r="M164" s="33"/>
    </row>
    <row r="165" spans="1:13" x14ac:dyDescent="0.3">
      <c r="A165" s="27"/>
      <c r="B165" s="27"/>
      <c r="C165" s="28"/>
      <c r="D165" s="30"/>
      <c r="E165" s="27"/>
      <c r="F165" s="31"/>
      <c r="G165" s="33"/>
      <c r="H165" s="27"/>
      <c r="I165" s="28"/>
      <c r="J165" s="30"/>
      <c r="K165" s="27"/>
      <c r="L165" s="31"/>
      <c r="M165" s="33"/>
    </row>
    <row r="166" spans="1:13" x14ac:dyDescent="0.3">
      <c r="A166" s="27"/>
      <c r="B166" s="27"/>
      <c r="C166" s="28"/>
      <c r="D166" s="30"/>
      <c r="E166" s="27"/>
      <c r="F166" s="31"/>
      <c r="G166" s="33"/>
      <c r="H166" s="27"/>
      <c r="I166" s="28"/>
      <c r="J166" s="30"/>
      <c r="K166" s="27"/>
      <c r="L166" s="31"/>
      <c r="M166" s="33"/>
    </row>
    <row r="167" spans="1:13" x14ac:dyDescent="0.3">
      <c r="A167" s="27"/>
      <c r="B167" s="27"/>
      <c r="C167" s="28"/>
      <c r="D167" s="30"/>
      <c r="E167" s="27"/>
      <c r="F167" s="31"/>
      <c r="G167" s="33"/>
      <c r="H167" s="27"/>
      <c r="I167" s="28"/>
      <c r="J167" s="30"/>
      <c r="K167" s="27"/>
      <c r="L167" s="31"/>
      <c r="M167" s="33"/>
    </row>
  </sheetData>
  <pageMargins left="0.7" right="0.7" top="0.75" bottom="0.75" header="0.3" footer="0.3"/>
  <pageSetup scale="75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MPN</vt:lpstr>
      <vt:lpstr>Prep</vt:lpstr>
      <vt:lpstr>MPNtemplate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Irine Ronin</dc:creator>
  <cp:lastModifiedBy>Irine Ronin</cp:lastModifiedBy>
  <cp:lastPrinted>2026-07-08T06:41:39Z</cp:lastPrinted>
  <dcterms:created xsi:type="dcterms:W3CDTF">2026-07-03T19:33:27Z</dcterms:created>
  <dcterms:modified xsi:type="dcterms:W3CDTF">2026-07-12T11:17:55Z</dcterms:modified>
</cp:coreProperties>
</file>